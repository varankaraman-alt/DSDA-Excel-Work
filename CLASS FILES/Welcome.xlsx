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1.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autoCompressPictures="0"/>
  <bookViews>
    <workbookView xWindow="0" yWindow="0" windowWidth="20490" windowHeight="765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10. PivotTables" sheetId="35" r:id="rId11"/>
    <sheet name="Learn more" sheetId="36" r:id="rId12"/>
  </sheets>
  <definedNames>
    <definedName name="_xlnm._FilterDatabase" localSheetId="5" hidden="1">'5. Sort &amp; filter'!$C$5:$G$13</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62913"/>
  <pivotCaches>
    <pivotCache cacheId="14" r:id="rId13"/>
    <pivotCache cacheId="17" r:id="rId14"/>
  </pivotCaches>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G5" i="23" l="1"/>
  <c r="G6" i="23"/>
  <c r="G7" i="23"/>
  <c r="G4" i="23"/>
  <c r="E54" i="21"/>
  <c r="E62" i="26" l="1"/>
  <c r="H34" i="26"/>
  <c r="H35" i="26"/>
  <c r="H36" i="26"/>
  <c r="H37" i="26"/>
  <c r="H38" i="26"/>
  <c r="H39" i="26"/>
  <c r="H40" i="26"/>
  <c r="H41" i="26"/>
  <c r="C40" i="25" a="1"/>
  <c r="C40" i="25" s="1"/>
  <c r="F56" i="24"/>
  <c r="E56" i="24"/>
  <c r="E5" i="23"/>
  <c r="E6" i="23"/>
  <c r="E7" i="23"/>
  <c r="G16" i="21"/>
  <c r="D16" i="21"/>
  <c r="G8" i="21"/>
  <c r="D8" i="21"/>
  <c r="D45" i="25" l="1"/>
  <c r="D41" i="25"/>
  <c r="C43" i="25"/>
  <c r="D42" i="25"/>
  <c r="D43" i="25"/>
  <c r="C45" i="25"/>
  <c r="C41" i="25"/>
  <c r="D44" i="25"/>
  <c r="D40" i="25"/>
  <c r="C44" i="25"/>
  <c r="C42" i="25"/>
  <c r="D73" i="34"/>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2" i="32"/>
  <c r="C36" i="32"/>
  <c r="C34" i="32"/>
  <c r="C35" i="32"/>
  <c r="C37" i="32"/>
  <c r="C33" i="32"/>
  <c r="E4" i="23" l="1"/>
  <c r="D42" i="21" l="1"/>
  <c r="H56" i="24" l="1"/>
  <c r="G56" i="24" l="1"/>
  <c r="G78" i="21" l="1"/>
  <c r="E12" i="23" l="1"/>
  <c r="G12" i="23" s="1"/>
  <c r="E13" i="23"/>
  <c r="G13" i="23" s="1"/>
  <c r="E14" i="23"/>
  <c r="G14" i="23" s="1"/>
  <c r="E11" i="23"/>
  <c r="G11" i="23" s="1"/>
  <c r="C15" i="23"/>
  <c r="D78" i="21" l="1"/>
</calcChain>
</file>

<file path=xl/sharedStrings.xml><?xml version="1.0" encoding="utf-8"?>
<sst xmlns="http://schemas.openxmlformats.org/spreadsheetml/2006/main" count="732" uniqueCount="402">
  <si>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</si>
  <si>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</si>
  <si>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</si>
  <si>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</si>
  <si>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</si>
  <si>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</si>
  <si>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</si>
  <si>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</si>
  <si>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</si>
  <si>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</si>
  <si>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</si>
  <si>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</si>
  <si>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</si>
  <si>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</si>
  <si>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</si>
  <si>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</si>
  <si>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</si>
  <si>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</si>
  <si>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</si>
  <si>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</si>
  <si>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</si>
  <si>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</si>
  <si>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</si>
  <si>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</si>
  <si>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</si>
  <si>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</si>
  <si>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</si>
  <si>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</si>
  <si>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</si>
  <si>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</si>
  <si>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</si>
  <si>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</si>
  <si>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</si>
  <si>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</si>
  <si>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</si>
  <si>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</si>
  <si>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</si>
  <si>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</si>
  <si>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</si>
  <si>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</si>
  <si>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</si>
  <si>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</si>
  <si>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</si>
  <si>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</si>
  <si>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</si>
  <si>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</si>
  <si>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</si>
  <si>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</si>
  <si>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</si>
  <si>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</si>
  <si>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</si>
  <si>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</si>
  <si>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</si>
  <si>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</si>
  <si>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</si>
  <si>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</si>
  <si>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</si>
  <si>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</si>
  <si>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</si>
  <si>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</si>
  <si>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</si>
  <si>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</si>
  <si>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</si>
  <si>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</si>
  <si>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</si>
  <si>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</si>
  <si>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</si>
  <si>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</si>
  <si>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</si>
  <si>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</si>
  <si>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</si>
  <si>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</si>
  <si>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</si>
  <si>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</si>
  <si>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</si>
  <si>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</si>
  <si>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</si>
  <si>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</si>
  <si>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</si>
  <si>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</si>
  <si>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</si>
  <si>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</si>
  <si>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</si>
  <si>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</si>
  <si>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</si>
  <si>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</si>
  <si>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</si>
  <si>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</si>
  <si>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</si>
  <si>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</si>
  <si>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</si>
  <si>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</si>
  <si>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</si>
  <si>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</si>
  <si>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</si>
  <si>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</si>
  <si>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</si>
  <si>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</si>
  <si>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</si>
  <si>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</si>
  <si>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</si>
  <si>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</si>
  <si>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</si>
  <si>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</si>
  <si>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</si>
  <si>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</si>
  <si>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</si>
  <si>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</si>
  <si>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</si>
  <si>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</si>
  <si>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</si>
  <si>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</si>
  <si>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</si>
  <si>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</si>
  <si>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</si>
  <si>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</si>
  <si>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</si>
  <si>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</si>
  <si>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</si>
  <si>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</si>
  <si>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</si>
  <si>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More questions about Excel?</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</si>
  <si>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</si>
  <si>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</si>
  <si>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</si>
  <si>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</si>
  <si>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</si>
  <si>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</si>
  <si>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</si>
  <si>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</si>
  <si>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</si>
  <si>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</si>
  <si>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</si>
  <si>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</si>
  <si>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</si>
  <si>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</si>
  <si>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</si>
  <si>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</si>
  <si>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</si>
  <si>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</si>
  <si>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</si>
  <si>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</si>
  <si>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</si>
  <si>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</si>
  <si>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</si>
  <si>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</si>
  <si>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</si>
  <si>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</si>
  <si>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</si>
  <si>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</si>
  <si>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</si>
  <si>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</si>
  <si>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</si>
  <si>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</si>
  <si>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</si>
  <si>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</si>
  <si>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</si>
  <si>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</si>
  <si>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</si>
  <si>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</si>
  <si>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</si>
  <si>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</si>
  <si>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</si>
  <si>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</si>
  <si>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</si>
  <si>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</si>
  <si>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</si>
  <si>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</si>
  <si>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</si>
  <si>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</si>
  <si>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</si>
  <si>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</si>
  <si>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</si>
  <si>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</si>
  <si>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</si>
  <si>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</si>
  <si>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</si>
  <si>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</si>
  <si>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</si>
  <si>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</si>
  <si>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</si>
  <si>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</si>
  <si>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</si>
  <si>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</si>
  <si>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</si>
  <si>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</si>
  <si>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</si>
  <si>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</si>
  <si>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</si>
  <si>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</si>
  <si>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</si>
  <si>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</si>
  <si>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</si>
  <si>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</si>
  <si>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</si>
  <si>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</si>
  <si>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</si>
  <si>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</si>
  <si>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</si>
  <si>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</si>
  <si>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</si>
  <si>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</si>
  <si>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</si>
  <si>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</si>
  <si>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</si>
  <si>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</si>
  <si>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</si>
  <si>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</si>
  <si>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</si>
  <si>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</si>
  <si>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</si>
  <si>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</si>
  <si>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</si>
  <si>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</si>
  <si>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</si>
  <si>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</si>
  <si>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</si>
  <si>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</si>
  <si>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</si>
  <si>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</si>
  <si>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</si>
  <si>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</si>
  <si>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</si>
  <si>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</si>
  <si>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</si>
  <si>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</si>
  <si>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</si>
  <si>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</si>
  <si>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</si>
  <si>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</si>
  <si>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</si>
  <si>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</si>
  <si>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</si>
  <si>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</si>
  <si>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</si>
  <si>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</si>
  <si>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</si>
  <si>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</si>
  <si>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</si>
  <si>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</si>
  <si>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</si>
  <si>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</si>
  <si>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</si>
  <si>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</si>
  <si>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Create a table by pressing CTRL+T, then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</si>
  <si>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</si>
  <si>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</si>
  <si>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</si>
  <si>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</si>
  <si>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</si>
  <si>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</si>
  <si>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</si>
  <si>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</si>
  <si>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</si>
  <si>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</si>
  <si>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</si>
  <si>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</si>
  <si>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</si>
  <si>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</si>
  <si>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</si>
  <si>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</si>
  <si>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</si>
  <si>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</si>
  <si>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Press ALT+Q and type what you want to know.</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</si>
  <si>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</si>
  <si>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</si>
  <si>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</si>
  <si>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</si>
  <si>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</si>
  <si>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</si>
  <si>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</si>
  <si>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</si>
  <si>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</si>
  <si>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</si>
  <si>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</si>
  <si>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Go to cell G8. Press ALT+=, then press ENTER.</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</si>
  <si>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</si>
  <si>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</si>
  <si>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</si>
  <si>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</si>
  <si>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</si>
  <si>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</si>
  <si>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</si>
  <si>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</si>
  <si>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</si>
  <si>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</si>
  <si>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</si>
  <si>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</si>
  <si>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</si>
  <si>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</si>
  <si>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</si>
  <si>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</si>
  <si>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</si>
  <si>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</si>
  <si>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</si>
  <si>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</si>
  <si>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</si>
  <si>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</si>
  <si>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</si>
  <si>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</si>
  <si>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</si>
  <si>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</si>
  <si>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</si>
  <si>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</si>
  <si>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</si>
  <si>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</si>
  <si>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</si>
  <si>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</si>
  <si>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</si>
  <si>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</si>
  <si>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</si>
  <si>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</si>
  <si>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</si>
  <si>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</si>
  <si>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</si>
  <si>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</si>
  <si>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</si>
  <si>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</si>
  <si>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</si>
  <si>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</si>
  <si>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</si>
  <si>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</si>
  <si>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</si>
  <si>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</si>
  <si>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</si>
  <si>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</si>
  <si>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</si>
  <si>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</si>
  <si>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</si>
  <si>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</si>
  <si>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</si>
  <si>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</si>
  <si>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</si>
  <si>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</si>
  <si>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</si>
  <si>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</si>
  <si>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</si>
  <si>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</si>
  <si>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</si>
  <si>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</si>
  <si>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</si>
  <si>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</si>
  <si>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</si>
  <si>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</si>
  <si>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</si>
  <si>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</si>
  <si>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</si>
  <si>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</si>
  <si>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</si>
  <si>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LinkedIn Learning: Video courses for all levels—from beginner to advanced. Take at your own pace.
</t>
  </si>
  <si>
    <t xml:space="preserve">Community: Ask questions and connect with other Excel fans.
</t>
  </si>
  <si>
    <t xml:space="preserve">• A value axis represents numerical values. For example, a value axis can represent dollars, hours, duration, temperature, and so on.  The vertical axis in the chart on the right starting in cell D30 is a value axis. </t>
  </si>
  <si>
    <t xml:space="preserve">What else is new?
Office 365 subscribers get continual updates and new features.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</si>
  <si>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</si>
  <si>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</si>
  <si>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</si>
  <si>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Select a cell inside the table. For example go to cell E38, then press ALT+JT to enter the Design menu above the ribbon. Press V to insert a PivotTable.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</si>
  <si>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</si>
  <si>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</si>
  <si>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</si>
  <si>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</si>
  <si>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</si>
  <si>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Free Excel training online</t>
  </si>
  <si>
    <t>A column chart appears showing total number of conference attendees per year. Use the arrow keys to move the chart anywhere you'd like.</t>
  </si>
  <si>
    <t xml:space="preserve">• A category axis represents things like dates, people names, product names. The horizontal axis in the chart on the right starting in cell D30 has years so this is a category axis. </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</si>
  <si>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</si>
  <si>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Now add only the numbers over 50. Go to cell D16. Type =SUMIF(D11:D15,"&gt;50"), then press Enter. The result is 100.</t>
  </si>
  <si>
    <t>The formula in cell E54: =SUM(D48, G48:G51,100).</t>
  </si>
  <si>
    <t>The formula in cell D78: =SUMIF(D73:D77,"&gt;50").</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</si>
  <si>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</si>
  <si>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</si>
  <si>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</si>
  <si>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</si>
  <si>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 xml:space="preserve">Next you’ll pivot the data so that you can find out which salesperson is the leading seller. Press CTRL+G, type E12, then press Enter. Your selection is now inside the PivotTable. </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</si>
  <si>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</si>
  <si>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 </t>
  </si>
  <si>
    <t>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t>
  </si>
  <si>
    <t>On the Data tab, select Data Validation, or press ALT+A,V to open the Data Validation dialogue box. Tab to Allow and select List. Press the tab key again.</t>
  </si>
  <si>
    <t>On the Data tab, select Data Validation, or press ALT+A,V to open the Data Validation dialogue box. Tab to Allow and press DOWN ARROW to select List. Press the tab key again.</t>
  </si>
  <si>
    <t>North</t>
  </si>
  <si>
    <t>Kotas</t>
  </si>
  <si>
    <t>Jones</t>
  </si>
  <si>
    <t>McKay</t>
  </si>
  <si>
    <t>Nancy</t>
  </si>
  <si>
    <t>Contoso Ltd.</t>
  </si>
  <si>
    <t>Andy</t>
  </si>
  <si>
    <t>Fabrikam Inc.</t>
  </si>
  <si>
    <t>Relecloud</t>
  </si>
  <si>
    <t>Steven</t>
  </si>
  <si>
    <t>Thorpe</t>
  </si>
  <si>
    <t>Michael</t>
  </si>
  <si>
    <t>Neipper</t>
  </si>
  <si>
    <t>Robert</t>
  </si>
  <si>
    <t>Zare</t>
  </si>
  <si>
    <t>Yvonne</t>
  </si>
  <si>
    <t>Feb</t>
  </si>
  <si>
    <t>Mar</t>
  </si>
  <si>
    <t>Week 2</t>
  </si>
  <si>
    <t>Week 3</t>
  </si>
  <si>
    <t>Week 4</t>
  </si>
  <si>
    <t>maggie</t>
  </si>
  <si>
    <t>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</si>
</sst>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5" formatCode="&quot;$&quot;#,##0_);\(&quot;$&quot;#,##0\)"/>
    <numFmt numFmtId="6" formatCode="&quot;$&quot;#,##0_);[Red]\(&quot;$&quot;#,##0\)"/>
    <numFmt numFmtId="42" formatCode="_(&quot;$&quot;* #,##0_);_(&quot;$&quot;* \(#,##0\);_(&quot;$&quot;* &quot;-&quot;_);_(@_)"/>
    <numFmt numFmtId="164" formatCode="yyyy;@"/>
    <numFmt numFmtId="165" formatCode="_(&quot;$&quot;* #,##0_);_(&quot;$&quot;* \(#,##0\);_(&quot;$&quot;* &quot;-&quot;??_);_(@_)"/>
  </numFmts>
  <fonts count="15"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2">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5" fontId="1" fillId="0" borderId="0" applyFont="0" applyFill="0" applyBorder="0" applyAlignment="0" applyProtection="0"/>
    <xf numFmtId="0" fontId="6" fillId="0" borderId="0"/>
    <xf numFmtId="0" fontId="10" fillId="0" borderId="0" applyFill="0" applyBorder="0">
      <alignment wrapText="1"/>
    </xf>
    <xf numFmtId="42" fontId="1" fillId="0" borderId="0" applyFont="0" applyFill="0" applyBorder="0" applyAlignment="0" applyProtection="0"/>
    <xf numFmtId="0" fontId="13" fillId="6" borderId="0" applyNumberFormat="0" applyBorder="0" applyProtection="0">
      <alignment horizontal="left" indent="1"/>
    </xf>
    <xf numFmtId="0" fontId="14" fillId="6" borderId="0" applyNumberFormat="0" applyProtection="0">
      <alignment horizontal="left" wrapText="1" indent="4"/>
    </xf>
    <xf numFmtId="0" fontId="10"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6" fontId="1" fillId="4" borderId="0" applyFont="0" applyBorder="0" applyAlignment="0"/>
    <xf numFmtId="14" fontId="1" fillId="0" borderId="0" applyFont="0" applyFill="0" applyBorder="0" applyAlignment="0"/>
    <xf numFmtId="164" fontId="1" fillId="0" borderId="0" applyFont="0" applyFill="0" applyBorder="0" applyAlignment="0"/>
  </cellStyleXfs>
  <cellXfs count="54">
    <xf numFmtId="0" fontId="0" fillId="0" borderId="0" xfId="0"/>
    <xf numFmtId="0" fontId="5" fillId="0" borderId="0" xfId="0" applyFont="1"/>
    <xf numFmtId="0" fontId="4" fillId="0" borderId="0" xfId="0" applyFo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Border="1"/>
    <xf numFmtId="0" fontId="0" fillId="0" borderId="9" xfId="0" applyBorder="1"/>
    <xf numFmtId="0" fontId="0" fillId="0" borderId="0" xfId="0" pivotButton="1"/>
    <xf numFmtId="0" fontId="8" fillId="0" borderId="0" xfId="0" applyFont="1"/>
    <xf numFmtId="0" fontId="9" fillId="0" borderId="0" xfId="0" applyFont="1"/>
    <xf numFmtId="0" fontId="9" fillId="0" borderId="0" xfId="0" applyFont="1" applyAlignment="1">
      <alignment vertical="center"/>
    </xf>
    <xf numFmtId="0" fontId="6" fillId="0" borderId="0" xfId="8"/>
    <xf numFmtId="0" fontId="10" fillId="6" borderId="0" xfId="9" applyFill="1">
      <alignment wrapText="1"/>
    </xf>
    <xf numFmtId="0" fontId="1" fillId="0" borderId="0" xfId="0" applyFont="1"/>
    <xf numFmtId="0" fontId="1" fillId="0" borderId="0" xfId="0" applyFont="1" applyAlignment="1">
      <alignment horizontal="left"/>
    </xf>
    <xf numFmtId="0" fontId="1" fillId="3" borderId="1" xfId="5"/>
    <xf numFmtId="0" fontId="1" fillId="0" borderId="0" xfId="0" applyFont="1" applyAlignment="1">
      <alignment horizontal="left" indent="1"/>
    </xf>
    <xf numFmtId="0" fontId="11" fillId="0" borderId="0" xfId="0" applyFont="1"/>
    <xf numFmtId="0" fontId="12" fillId="0" borderId="0" xfId="0" applyFont="1"/>
    <xf numFmtId="0" fontId="12" fillId="0" borderId="0" xfId="0" applyFont="1" applyAlignment="1">
      <alignment horizontal="left"/>
    </xf>
    <xf numFmtId="0" fontId="13" fillId="6" borderId="0" xfId="11">
      <alignment horizontal="left" indent="1"/>
    </xf>
    <xf numFmtId="0" fontId="14" fillId="6" borderId="0" xfId="12">
      <alignment horizontal="left" wrapText="1" indent="4"/>
    </xf>
    <xf numFmtId="0" fontId="6" fillId="2" borderId="0" xfId="14"/>
    <xf numFmtId="5"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6" fontId="0" fillId="0" borderId="0" xfId="0" applyNumberFormat="1"/>
    <xf numFmtId="6" fontId="0" fillId="4" borderId="0" xfId="22" applyFont="1"/>
    <xf numFmtId="5" fontId="0" fillId="0" borderId="0" xfId="7" applyFont="1"/>
    <xf numFmtId="5" fontId="0" fillId="0" borderId="0" xfId="7" applyFont="1" applyAlignment="1"/>
    <xf numFmtId="5" fontId="0" fillId="3" borderId="0" xfId="7" applyFont="1" applyFill="1" applyAlignment="1"/>
    <xf numFmtId="42" fontId="0" fillId="0" borderId="0" xfId="10" applyFont="1" applyAlignment="1">
      <alignment horizontal="right"/>
    </xf>
    <xf numFmtId="5"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Border="1"/>
    <xf numFmtId="0" fontId="0" fillId="0" borderId="6" xfId="0" applyBorder="1"/>
    <xf numFmtId="0" fontId="0" fillId="0" borderId="7" xfId="18" applyFont="1" applyFill="1" applyBorder="1"/>
    <xf numFmtId="0" fontId="6" fillId="2" borderId="0" xfId="14" applyBorder="1"/>
    <xf numFmtId="0" fontId="6" fillId="0" borderId="0" xfId="8" applyAlignment="1">
      <alignment wrapText="1"/>
    </xf>
    <xf numFmtId="0" fontId="10" fillId="6" borderId="0" xfId="13">
      <alignment horizontal="left" wrapText="1" indent="4"/>
    </xf>
    <xf numFmtId="5" fontId="1" fillId="3" borderId="0" xfId="7" applyFill="1"/>
    <xf numFmtId="0" fontId="0" fillId="0" borderId="0" xfId="0" applyBorder="1"/>
    <xf numFmtId="0" fontId="0" fillId="3" borderId="1" xfId="5" applyFont="1"/>
    <xf numFmtId="0" fontId="0" fillId="0" borderId="0" xfId="0" applyNumberFormat="1"/>
  </cellXfs>
  <cellStyles count="25">
    <cellStyle name="Bottom Border" xfId="16"/>
    <cellStyle name="Bottom Green Border" xfId="19"/>
    <cellStyle name="Currency" xfId="7" builtinId="4" customBuiltin="1"/>
    <cellStyle name="Currency [0]" xfId="10" builtinId="7"/>
    <cellStyle name="Date" xfId="23"/>
    <cellStyle name="Followed Hyperlink" xfId="1" builtinId="9" hidden="1"/>
    <cellStyle name="Followed Hyperlink" xfId="2" builtinId="9" hidden="1"/>
    <cellStyle name="GrayCell" xfId="3"/>
    <cellStyle name="Heading 1" xfId="12" builtinId="16" customBuiltin="1"/>
    <cellStyle name="Heading 2" xfId="13" builtinId="17" customBuiltin="1"/>
    <cellStyle name="Heading 3" xfId="14" builtinId="18" customBuiltin="1"/>
    <cellStyle name="Heading 4" xfId="15" builtinId="19" customBuiltin="1"/>
    <cellStyle name="Highlight" xfId="22"/>
    <cellStyle name="Left Border" xfId="6"/>
    <cellStyle name="Left Bottom Green Border" xfId="20"/>
    <cellStyle name="Left Green Border" xfId="17"/>
    <cellStyle name="Normal" xfId="0" builtinId="0"/>
    <cellStyle name="OrangeBorder" xfId="5"/>
    <cellStyle name="Right Bottom Green Border" xfId="21"/>
    <cellStyle name="Right Green Border" xfId="18"/>
    <cellStyle name="Start Text" xfId="9"/>
    <cellStyle name="Title" xfId="11" builtinId="15" customBuiltin="1"/>
    <cellStyle name="Year" xfId="24"/>
    <cellStyle name="YellowCell" xfId="4"/>
    <cellStyle name="z A Column text" xfId="8"/>
  </cellStyles>
  <dxfs count="16">
    <dxf>
      <numFmt numFmtId="9" formatCode="&quot;$&quot;#,##0_);\(&quot;$&quot;#,##0\)"/>
    </dxf>
    <dxf>
      <numFmt numFmtId="9" formatCode="&quot;$&quot;#,##0_);\(&quot;$&quot;#,##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9" formatCode="&quot;$&quot;#,##0_);\(&quot;$&quot;#,##0\)"/>
    </dxf>
    <dxf>
      <alignment horizontal="general" vertical="bottom" textRotation="0" wrapText="0" indent="0" justifyLastLine="0" shrinkToFit="0" readingOrder="0"/>
    </dxf>
    <dxf>
      <numFmt numFmtId="0" formatCode="General"/>
    </dxf>
    <dxf>
      <alignment horizontal="left" vertical="bottom" textRotation="0" wrapText="0" indent="0" justifyLastLine="0" shrinkToFit="0" readingOrder="0"/>
    </dxf>
    <dxf>
      <numFmt numFmtId="9" formatCode="&quot;$&quot;#,##0_);\(&quot;$&quot;#,##0\)"/>
    </dxf>
    <dxf>
      <numFmt numFmtId="9" formatCode="&quot;$&quot;#,##0_);\(&quot;$&quot;#,##0\)"/>
    </dxf>
    <dxf>
      <fill>
        <patternFill patternType="solid">
          <fgColor rgb="FFFFFF00"/>
          <bgColor rgb="FF000000"/>
        </patternFill>
      </fill>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tableStyleElement type="headerRow" dxfId="15"/>
      <tableStyleElement type="firstRowStripe" dxfId="14"/>
    </tableStyle>
    <tableStyle name="PivotTable Style 1" table="0" count="2">
      <tableStyleElement type="headerRow" dxfId="13"/>
      <tableStyleElement type="totalRow" dxfId="12"/>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6366850695387215"/>
          <c:y val="1.76211453744493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extLst>
                <c:ext xmlns:c15="http://schemas.microsoft.com/office/drawing/2012/chart" uri="{02D57815-91ED-43cb-92C2-25804820EDAC}">
                  <c15:fullRef>
                    <c15:sqref>'8. Analyze'!$C$35:$D$42</c15:sqref>
                  </c15:fullRef>
                  <c15:levelRef>
                    <c15:sqref>'8. Analyze'!$D$35:$D$42</c15:sqref>
                  </c15:levelRef>
                </c:ext>
              </c:extLst>
              <c:f>'8. Analyze'!$D$35:$D$42</c:f>
              <c:strCache>
                <c:ptCount val="8"/>
                <c:pt idx="0">
                  <c:v>Breads</c:v>
                </c:pt>
                <c:pt idx="1">
                  <c:v>Desserts</c:v>
                </c:pt>
                <c:pt idx="2">
                  <c:v>Sandwiches</c:v>
                </c:pt>
                <c:pt idx="3">
                  <c:v>Salads</c:v>
                </c:pt>
                <c:pt idx="4">
                  <c:v>Beef</c:v>
                </c:pt>
                <c:pt idx="5">
                  <c:v>Chicken</c:v>
                </c:pt>
                <c:pt idx="6">
                  <c:v>Veggies</c:v>
                </c:pt>
                <c:pt idx="7">
                  <c:v>Fruit</c:v>
                </c:pt>
              </c:strCache>
            </c:strRef>
          </c:cat>
          <c:val>
            <c:numRef>
              <c:f>'8. Analyze'!$E$35:$E$42</c:f>
              <c:numCache>
                <c:formatCode>"$"#,##0_);\("$"#,##0\)</c:formatCode>
                <c:ptCount val="8"/>
                <c:pt idx="0">
                  <c:v>30000</c:v>
                </c:pt>
                <c:pt idx="1">
                  <c:v>25000</c:v>
                </c:pt>
                <c:pt idx="2">
                  <c:v>80000</c:v>
                </c:pt>
                <c:pt idx="3">
                  <c:v>90000</c:v>
                </c:pt>
                <c:pt idx="4">
                  <c:v>90000</c:v>
                </c:pt>
                <c:pt idx="5">
                  <c:v>75000</c:v>
                </c:pt>
                <c:pt idx="6">
                  <c:v>30000</c:v>
                </c:pt>
                <c:pt idx="7">
                  <c:v>10000</c:v>
                </c:pt>
              </c:numCache>
            </c:numRef>
          </c:val>
          <c:extLst>
            <c:ext xmlns:c16="http://schemas.microsoft.com/office/drawing/2014/chart" uri="{C3380CC4-5D6E-409C-BE32-E72D297353CC}">
              <c16:uniqueId val="{00000000-AD7F-4F6A-9195-CD5D2C73A215}"/>
            </c:ext>
          </c:extLst>
        </c:ser>
        <c:ser>
          <c:idx val="1"/>
          <c:order val="1"/>
          <c:spPr>
            <a:solidFill>
              <a:schemeClr val="accent2"/>
            </a:solidFill>
            <a:ln>
              <a:noFill/>
            </a:ln>
            <a:effectLst/>
          </c:spPr>
          <c:invertIfNegative val="0"/>
          <c:cat>
            <c:strRef>
              <c:extLst>
                <c:ext xmlns:c15="http://schemas.microsoft.com/office/drawing/2012/chart" uri="{02D57815-91ED-43cb-92C2-25804820EDAC}">
                  <c15:fullRef>
                    <c15:sqref>'8. Analyze'!$C$35:$D$42</c15:sqref>
                  </c15:fullRef>
                  <c15:levelRef>
                    <c15:sqref>'8. Analyze'!$D$35:$D$42</c15:sqref>
                  </c15:levelRef>
                </c:ext>
              </c:extLst>
              <c:f>'8. Analyze'!$D$35:$D$42</c:f>
              <c:strCache>
                <c:ptCount val="8"/>
                <c:pt idx="0">
                  <c:v>Breads</c:v>
                </c:pt>
                <c:pt idx="1">
                  <c:v>Desserts</c:v>
                </c:pt>
                <c:pt idx="2">
                  <c:v>Sandwiches</c:v>
                </c:pt>
                <c:pt idx="3">
                  <c:v>Salads</c:v>
                </c:pt>
                <c:pt idx="4">
                  <c:v>Beef</c:v>
                </c:pt>
                <c:pt idx="5">
                  <c:v>Chicken</c:v>
                </c:pt>
                <c:pt idx="6">
                  <c:v>Veggies</c:v>
                </c:pt>
                <c:pt idx="7">
                  <c:v>Fruit</c:v>
                </c:pt>
              </c:strCache>
            </c:strRef>
          </c:cat>
          <c:val>
            <c:numRef>
              <c:f>'8. Analyze'!$F$35:$F$42</c:f>
              <c:numCache>
                <c:formatCode>"$"#,##0_);\("$"#,##0\)</c:formatCode>
                <c:ptCount val="8"/>
                <c:pt idx="0">
                  <c:v>15000</c:v>
                </c:pt>
                <c:pt idx="1">
                  <c:v>80000</c:v>
                </c:pt>
                <c:pt idx="2">
                  <c:v>40000</c:v>
                </c:pt>
                <c:pt idx="3">
                  <c:v>35000</c:v>
                </c:pt>
                <c:pt idx="4">
                  <c:v>110000</c:v>
                </c:pt>
                <c:pt idx="5">
                  <c:v>82000</c:v>
                </c:pt>
                <c:pt idx="6">
                  <c:v>80000</c:v>
                </c:pt>
                <c:pt idx="7">
                  <c:v>30000</c:v>
                </c:pt>
              </c:numCache>
            </c:numRef>
          </c:val>
          <c:extLst>
            <c:ext xmlns:c16="http://schemas.microsoft.com/office/drawing/2014/chart" uri="{C3380CC4-5D6E-409C-BE32-E72D297353CC}">
              <c16:uniqueId val="{00000001-AD7F-4F6A-9195-CD5D2C73A215}"/>
            </c:ext>
          </c:extLst>
        </c:ser>
        <c:ser>
          <c:idx val="2"/>
          <c:order val="2"/>
          <c:spPr>
            <a:solidFill>
              <a:schemeClr val="accent3"/>
            </a:solidFill>
            <a:ln>
              <a:noFill/>
            </a:ln>
            <a:effectLst/>
          </c:spPr>
          <c:invertIfNegative val="0"/>
          <c:cat>
            <c:strRef>
              <c:extLst>
                <c:ext xmlns:c15="http://schemas.microsoft.com/office/drawing/2012/chart" uri="{02D57815-91ED-43cb-92C2-25804820EDAC}">
                  <c15:fullRef>
                    <c15:sqref>'8. Analyze'!$C$35:$D$42</c15:sqref>
                  </c15:fullRef>
                  <c15:levelRef>
                    <c15:sqref>'8. Analyze'!$D$35:$D$42</c15:sqref>
                  </c15:levelRef>
                </c:ext>
              </c:extLst>
              <c:f>'8. Analyze'!$D$35:$D$42</c:f>
              <c:strCache>
                <c:ptCount val="8"/>
                <c:pt idx="0">
                  <c:v>Breads</c:v>
                </c:pt>
                <c:pt idx="1">
                  <c:v>Desserts</c:v>
                </c:pt>
                <c:pt idx="2">
                  <c:v>Sandwiches</c:v>
                </c:pt>
                <c:pt idx="3">
                  <c:v>Salads</c:v>
                </c:pt>
                <c:pt idx="4">
                  <c:v>Beef</c:v>
                </c:pt>
                <c:pt idx="5">
                  <c:v>Chicken</c:v>
                </c:pt>
                <c:pt idx="6">
                  <c:v>Veggies</c:v>
                </c:pt>
                <c:pt idx="7">
                  <c:v>Fruit</c:v>
                </c:pt>
              </c:strCache>
            </c:strRef>
          </c:cat>
          <c:val>
            <c:numRef>
              <c:f>'8. Analyze'!$G$35:$G$42</c:f>
              <c:numCache>
                <c:formatCode>"$"#,##0_);\("$"#,##0\)</c:formatCode>
                <c:ptCount val="8"/>
                <c:pt idx="0">
                  <c:v>20000</c:v>
                </c:pt>
                <c:pt idx="1">
                  <c:v>120000</c:v>
                </c:pt>
                <c:pt idx="2">
                  <c:v>20000</c:v>
                </c:pt>
                <c:pt idx="3">
                  <c:v>25000</c:v>
                </c:pt>
                <c:pt idx="4">
                  <c:v>200000</c:v>
                </c:pt>
                <c:pt idx="5">
                  <c:v>150000</c:v>
                </c:pt>
                <c:pt idx="6">
                  <c:v>30000</c:v>
                </c:pt>
                <c:pt idx="7">
                  <c:v>40000</c:v>
                </c:pt>
              </c:numCache>
            </c:numRef>
          </c:val>
          <c:extLst>
            <c:ext xmlns:c16="http://schemas.microsoft.com/office/drawing/2014/chart" uri="{C3380CC4-5D6E-409C-BE32-E72D297353CC}">
              <c16:uniqueId val="{00000002-AD7F-4F6A-9195-CD5D2C73A215}"/>
            </c:ext>
          </c:extLst>
        </c:ser>
        <c:dLbls>
          <c:showLegendKey val="0"/>
          <c:showVal val="0"/>
          <c:showCatName val="0"/>
          <c:showSerName val="0"/>
          <c:showPercent val="0"/>
          <c:showBubbleSize val="0"/>
        </c:dLbls>
        <c:gapWidth val="219"/>
        <c:overlap val="-27"/>
        <c:axId val="471780648"/>
        <c:axId val="471783600"/>
      </c:barChart>
      <c:catAx>
        <c:axId val="471780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783600"/>
        <c:crosses val="autoZero"/>
        <c:auto val="1"/>
        <c:lblAlgn val="ctr"/>
        <c:lblOffset val="100"/>
        <c:noMultiLvlLbl val="0"/>
      </c:catAx>
      <c:valAx>
        <c:axId val="471783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7806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2021</c:v>
                </c:pt>
                <c:pt idx="1">
                  <c:v>2022</c:v>
                </c:pt>
                <c:pt idx="2">
                  <c:v>2023</c:v>
                </c:pt>
                <c:pt idx="3">
                  <c:v>2024</c:v>
                </c:pt>
                <c:pt idx="4">
                  <c:v>2025</c:v>
                </c:pt>
                <c:pt idx="5">
                  <c:v>2026</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General</c:formatCode>
                <c:ptCount val="6"/>
                <c:pt idx="0">
                  <c:v>2021</c:v>
                </c:pt>
                <c:pt idx="1">
                  <c:v>2022</c:v>
                </c:pt>
                <c:pt idx="2">
                  <c:v>2023</c:v>
                </c:pt>
                <c:pt idx="3">
                  <c:v>2024</c:v>
                </c:pt>
                <c:pt idx="4">
                  <c:v>2025</c:v>
                </c:pt>
                <c:pt idx="5">
                  <c:v>2026</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2021</c:v>
                </c:pt>
                <c:pt idx="1">
                  <c:v>2022</c:v>
                </c:pt>
                <c:pt idx="2">
                  <c:v>2023</c:v>
                </c:pt>
                <c:pt idx="3">
                  <c:v>2024</c:v>
                </c:pt>
                <c:pt idx="4">
                  <c:v>2025</c:v>
                </c:pt>
                <c:pt idx="5">
                  <c:v>2026</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numRef>
              <c:f>'9. Charts'!$C$6:$C$11</c:f>
              <c:numCache>
                <c:formatCode>General</c:formatCode>
                <c:ptCount val="6"/>
                <c:pt idx="0">
                  <c:v>2021</c:v>
                </c:pt>
                <c:pt idx="1">
                  <c:v>2022</c:v>
                </c:pt>
                <c:pt idx="2">
                  <c:v>2023</c:v>
                </c:pt>
                <c:pt idx="3">
                  <c:v>2024</c:v>
                </c:pt>
                <c:pt idx="4">
                  <c:v>2025</c:v>
                </c:pt>
                <c:pt idx="5">
                  <c:v>2026</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5215-4BB6-B20A-DAD55F9F2EA7}"/>
            </c:ext>
          </c:extLst>
        </c:ser>
        <c:dLbls>
          <c:showLegendKey val="0"/>
          <c:showVal val="0"/>
          <c:showCatName val="0"/>
          <c:showSerName val="0"/>
          <c:showPercent val="0"/>
          <c:showBubbleSize val="0"/>
        </c:dLbls>
        <c:gapWidth val="219"/>
        <c:overlap val="-27"/>
        <c:axId val="523105872"/>
        <c:axId val="523108496"/>
      </c:barChart>
      <c:catAx>
        <c:axId val="52310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08496"/>
        <c:crosses val="autoZero"/>
        <c:auto val="1"/>
        <c:lblAlgn val="ctr"/>
        <c:lblOffset val="100"/>
        <c:noMultiLvlLbl val="0"/>
      </c:catAx>
      <c:valAx>
        <c:axId val="52310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05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'9. Charts'!$D$68:$D$73</c:f>
              <c:numCache>
                <c:formatCode>General</c:formatCode>
                <c:ptCount val="6"/>
                <c:pt idx="0">
                  <c:v>2021</c:v>
                </c:pt>
                <c:pt idx="1">
                  <c:v>2022</c:v>
                </c:pt>
                <c:pt idx="2">
                  <c:v>2023</c:v>
                </c:pt>
                <c:pt idx="3">
                  <c:v>2024</c:v>
                </c:pt>
                <c:pt idx="4">
                  <c:v>2025</c:v>
                </c:pt>
                <c:pt idx="5">
                  <c:v>2026</c:v>
                </c:pt>
              </c:numCache>
            </c:numRef>
          </c:val>
          <c:extLst>
            <c:ext xmlns:c16="http://schemas.microsoft.com/office/drawing/2014/chart" uri="{C3380CC4-5D6E-409C-BE32-E72D297353CC}">
              <c16:uniqueId val="{00000000-5FBC-4C35-9FBF-A461326F34B3}"/>
            </c:ext>
          </c:extLst>
        </c:ser>
        <c:ser>
          <c:idx val="1"/>
          <c:order val="1"/>
          <c:spPr>
            <a:solidFill>
              <a:schemeClr val="accent2"/>
            </a:solidFill>
            <a:ln>
              <a:noFill/>
            </a:ln>
            <a:effectLst/>
          </c:spPr>
          <c:invertIfNegative val="0"/>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1-5FBC-4C35-9FBF-A461326F34B3}"/>
            </c:ext>
          </c:extLst>
        </c:ser>
        <c:dLbls>
          <c:showLegendKey val="0"/>
          <c:showVal val="0"/>
          <c:showCatName val="0"/>
          <c:showSerName val="0"/>
          <c:showPercent val="0"/>
          <c:showBubbleSize val="0"/>
        </c:dLbls>
        <c:gapWidth val="219"/>
        <c:overlap val="-27"/>
        <c:axId val="556870552"/>
        <c:axId val="556870880"/>
      </c:barChart>
      <c:lineChart>
        <c:grouping val="standard"/>
        <c:varyColors val="0"/>
        <c:ser>
          <c:idx val="2"/>
          <c:order val="2"/>
          <c:spPr>
            <a:ln w="28575" cap="rnd">
              <a:solidFill>
                <a:schemeClr val="accent3"/>
              </a:solidFill>
              <a:round/>
            </a:ln>
            <a:effectLst/>
          </c:spPr>
          <c:marker>
            <c:symbol val="none"/>
          </c:marker>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2-5FBC-4C35-9FBF-A461326F34B3}"/>
            </c:ext>
          </c:extLst>
        </c:ser>
        <c:dLbls>
          <c:showLegendKey val="0"/>
          <c:showVal val="0"/>
          <c:showCatName val="0"/>
          <c:showSerName val="0"/>
          <c:showPercent val="0"/>
          <c:showBubbleSize val="0"/>
        </c:dLbls>
        <c:marker val="1"/>
        <c:smooth val="0"/>
        <c:axId val="442329672"/>
        <c:axId val="442329016"/>
      </c:lineChart>
      <c:catAx>
        <c:axId val="5568705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870880"/>
        <c:crosses val="autoZero"/>
        <c:auto val="1"/>
        <c:lblAlgn val="ctr"/>
        <c:lblOffset val="100"/>
        <c:noMultiLvlLbl val="0"/>
      </c:catAx>
      <c:valAx>
        <c:axId val="55687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870552"/>
        <c:crosses val="autoZero"/>
        <c:crossBetween val="between"/>
      </c:valAx>
      <c:valAx>
        <c:axId val="442329016"/>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329672"/>
        <c:crosses val="max"/>
        <c:crossBetween val="between"/>
      </c:valAx>
      <c:catAx>
        <c:axId val="442329672"/>
        <c:scaling>
          <c:orientation val="minMax"/>
        </c:scaling>
        <c:delete val="1"/>
        <c:axPos val="b"/>
        <c:majorTickMark val="out"/>
        <c:minorTickMark val="none"/>
        <c:tickLblPos val="nextTo"/>
        <c:crossAx val="442329016"/>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5.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7.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6.png"/><Relationship Id="rId10" Type="http://schemas.openxmlformats.org/officeDocument/2006/relationships/image" Target="../media/image4.png"/><Relationship Id="rId19" Type="http://schemas.openxmlformats.org/officeDocument/2006/relationships/hyperlink" Target="#'1. Add'!A62"/><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Fill'!A1"/><Relationship Id="rId13" Type="http://schemas.openxmlformats.org/officeDocument/2006/relationships/image" Target="../media/image9.png"/><Relationship Id="rId3" Type="http://schemas.openxmlformats.org/officeDocument/2006/relationships/image" Target="../media/image7.png"/><Relationship Id="rId7" Type="http://schemas.openxmlformats.org/officeDocument/2006/relationships/image" Target="../media/image8.png"/><Relationship Id="rId12" Type="http://schemas.openxmlformats.org/officeDocument/2006/relationships/hyperlink" Target="https://go.microsoft.com/fwlink/?linkid=844745" TargetMode="External"/><Relationship Id="rId2" Type="http://schemas.openxmlformats.org/officeDocument/2006/relationships/hyperlink" Target="#'3. Split'!A1"/><Relationship Id="rId16" Type="http://schemas.openxmlformats.org/officeDocument/2006/relationships/image" Target="../media/image16.svg"/><Relationship Id="rId1" Type="http://schemas.openxmlformats.org/officeDocument/2006/relationships/hyperlink" Target="#'2. Fill'!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4.png"/><Relationship Id="rId15" Type="http://schemas.openxmlformats.org/officeDocument/2006/relationships/image" Target="../media/image10.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go.microsoft.com/fwlink/?linkid=844741"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image" Target="../media/image11.png"/><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6" Type="http://schemas.openxmlformats.org/officeDocument/2006/relationships/image" Target="../media/image12.png"/><Relationship Id="rId1" Type="http://schemas.openxmlformats.org/officeDocument/2006/relationships/image" Target="../media/image4.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5" Type="http://schemas.openxmlformats.org/officeDocument/2006/relationships/hyperlink" Target="#'3. Split'!A62"/><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go.microsoft.com/fwlink/?linkid=844743" TargetMode="External"/><Relationship Id="rId13" Type="http://schemas.openxmlformats.org/officeDocument/2006/relationships/image" Target="../media/image15.png"/><Relationship Id="rId3" Type="http://schemas.openxmlformats.org/officeDocument/2006/relationships/image" Target="../media/image13.png"/><Relationship Id="rId7" Type="http://schemas.openxmlformats.org/officeDocument/2006/relationships/hyperlink" Target="#'4. Transpose'!A1"/><Relationship Id="rId12" Type="http://schemas.openxmlformats.org/officeDocument/2006/relationships/hyperlink" Target="https://go.microsoft.com/fwlink/?linkid=844752" TargetMode="External"/><Relationship Id="rId2" Type="http://schemas.openxmlformats.org/officeDocument/2006/relationships/hyperlink" Target="#'5. Sort &amp; filter'!A1"/><Relationship Id="rId1" Type="http://schemas.openxmlformats.org/officeDocument/2006/relationships/hyperlink" Target="#'4. Transpose'!A62"/><Relationship Id="rId6" Type="http://schemas.openxmlformats.org/officeDocument/2006/relationships/image" Target="../media/image23.svg"/><Relationship Id="rId11" Type="http://schemas.openxmlformats.org/officeDocument/2006/relationships/hyperlink" Target="https://go.microsoft.com/fwlink/?linkid=844747" TargetMode="External"/><Relationship Id="rId5" Type="http://schemas.openxmlformats.org/officeDocument/2006/relationships/image" Target="../media/image14.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16.png"/></Relationships>
</file>

<file path=xl/drawings/_rels/drawing6.xml.rels><?xml version="1.0" encoding="UTF-8" standalone="yes"?>
<Relationships xmlns="http://schemas.openxmlformats.org/package/2006/relationships"><Relationship Id="rId8" Type="http://schemas.openxmlformats.org/officeDocument/2006/relationships/hyperlink" Target="#'5. Sort &amp; filter'!A1"/><Relationship Id="rId3" Type="http://schemas.openxmlformats.org/officeDocument/2006/relationships/hyperlink" Target="#'5. Sort &amp; filter'!A62"/><Relationship Id="rId7" Type="http://schemas.openxmlformats.org/officeDocument/2006/relationships/image" Target="../media/image8.svg"/><Relationship Id="rId12" Type="http://schemas.openxmlformats.org/officeDocument/2006/relationships/hyperlink" Target="https://go.microsoft.com/fwlink/?linkid=844750" TargetMode="External"/><Relationship Id="rId2" Type="http://schemas.openxmlformats.org/officeDocument/2006/relationships/image" Target="../media/image12.svg"/><Relationship Id="rId1" Type="http://schemas.openxmlformats.org/officeDocument/2006/relationships/image" Target="../media/image7.png"/><Relationship Id="rId6" Type="http://schemas.openxmlformats.org/officeDocument/2006/relationships/image" Target="../media/image5.png"/><Relationship Id="rId11" Type="http://schemas.openxmlformats.org/officeDocument/2006/relationships/image" Target="../media/image4.svg"/><Relationship Id="rId5" Type="http://schemas.openxmlformats.org/officeDocument/2006/relationships/image" Target="../media/image17.png"/><Relationship Id="rId10" Type="http://schemas.openxmlformats.org/officeDocument/2006/relationships/image" Target="../media/image3.png"/><Relationship Id="rId4" Type="http://schemas.openxmlformats.org/officeDocument/2006/relationships/hyperlink" Target="#'6. Tables'!A1"/><Relationship Id="rId9" Type="http://schemas.openxmlformats.org/officeDocument/2006/relationships/hyperlink" Target="https://go.microsoft.com/fwlink/?linkid=844746"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3.png"/><Relationship Id="rId3" Type="http://schemas.openxmlformats.org/officeDocument/2006/relationships/image" Target="../media/image18.png"/><Relationship Id="rId7" Type="http://schemas.openxmlformats.org/officeDocument/2006/relationships/image" Target="../media/image12.svg"/><Relationship Id="rId12" Type="http://schemas.openxmlformats.org/officeDocument/2006/relationships/hyperlink" Target="https://go.microsoft.com/fwlink/?linkid=844726" TargetMode="External"/><Relationship Id="rId2" Type="http://schemas.openxmlformats.org/officeDocument/2006/relationships/hyperlink" Target="#'7. Drop-downs'!A1"/><Relationship Id="rId16" Type="http://schemas.openxmlformats.org/officeDocument/2006/relationships/hyperlink" Target="https://go.microsoft.com/fwlink/?linkid=844731" TargetMode="External"/><Relationship Id="rId1" Type="http://schemas.openxmlformats.org/officeDocument/2006/relationships/hyperlink" Target="#'6. Tables'!A62"/><Relationship Id="rId6" Type="http://schemas.openxmlformats.org/officeDocument/2006/relationships/image" Target="../media/image7.png"/><Relationship Id="rId11" Type="http://schemas.openxmlformats.org/officeDocument/2006/relationships/hyperlink" Target="#'6. Tables'!A1"/><Relationship Id="rId5" Type="http://schemas.openxmlformats.org/officeDocument/2006/relationships/image" Target="../media/image6.svg"/><Relationship Id="rId15" Type="http://schemas.openxmlformats.org/officeDocument/2006/relationships/hyperlink" Target="https://go.microsoft.com/fwlink/?linkid=844728" TargetMode="External"/><Relationship Id="rId10"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go.microsoft.com/fwlink/?linkid=844742" TargetMode="External"/><Relationship Id="rId3" Type="http://schemas.openxmlformats.org/officeDocument/2006/relationships/image" Target="../media/image20.png"/><Relationship Id="rId7" Type="http://schemas.openxmlformats.org/officeDocument/2006/relationships/image" Target="../media/image4.png"/><Relationship Id="rId12" Type="http://schemas.openxmlformats.org/officeDocument/2006/relationships/image" Target="../media/image4.svg"/><Relationship Id="rId2" Type="http://schemas.openxmlformats.org/officeDocument/2006/relationships/hyperlink" Target="#'8. Analyze'!A1"/><Relationship Id="rId1" Type="http://schemas.openxmlformats.org/officeDocument/2006/relationships/hyperlink" Target="#'7. Drop-downs'!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16.png"/><Relationship Id="rId10" Type="http://schemas.openxmlformats.org/officeDocument/2006/relationships/hyperlink" Target="https://go.microsoft.com/fwlink/?linkid=844735" TargetMode="External"/><Relationship Id="rId4" Type="http://schemas.openxmlformats.org/officeDocument/2006/relationships/image" Target="../media/image21.png"/><Relationship Id="rId9" Type="http://schemas.openxmlformats.org/officeDocument/2006/relationships/hyperlink" Target="#'7. Drop-downs'!A1"/></Relationships>
</file>

<file path=xl/drawings/_rels/drawing9.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hyperlink" Target="https://go.microsoft.com/fwlink/?linkid=844725" TargetMode="External"/><Relationship Id="rId7" Type="http://schemas.openxmlformats.org/officeDocument/2006/relationships/hyperlink" Target="#'8. Analyze'!A62"/><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11" Type="http://schemas.openxmlformats.org/officeDocument/2006/relationships/chart" Target="../charts/chart1.xm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44734" TargetMode="External"/><Relationship Id="rId13" Type="http://schemas.openxmlformats.org/officeDocument/2006/relationships/chart" Target="../charts/chart4.xml"/><Relationship Id="rId3" Type="http://schemas.openxmlformats.org/officeDocument/2006/relationships/hyperlink" Target="#'9. Charts'!A62"/><Relationship Id="rId7" Type="http://schemas.openxmlformats.org/officeDocument/2006/relationships/hyperlink" Target="#'9. Charts'!A1"/><Relationship Id="rId12" Type="http://schemas.openxmlformats.org/officeDocument/2006/relationships/hyperlink" Target="https://go.microsoft.com/fwlink/?linkid=844739" TargetMode="External"/><Relationship Id="rId2" Type="http://schemas.openxmlformats.org/officeDocument/2006/relationships/image" Target="../media/image12.svg"/><Relationship Id="rId1" Type="http://schemas.openxmlformats.org/officeDocument/2006/relationships/image" Target="../media/image7.png"/><Relationship Id="rId6" Type="http://schemas.openxmlformats.org/officeDocument/2006/relationships/chart" Target="../charts/chart3.xml"/><Relationship Id="rId11" Type="http://schemas.openxmlformats.org/officeDocument/2006/relationships/hyperlink" Target="https://go.microsoft.com/fwlink/?linkid=844738" TargetMode="External"/><Relationship Id="rId5" Type="http://schemas.openxmlformats.org/officeDocument/2006/relationships/chart" Target="../charts/chart2.xml"/><Relationship Id="rId10" Type="http://schemas.openxmlformats.org/officeDocument/2006/relationships/image" Target="../media/image4.svg"/><Relationship Id="rId4" Type="http://schemas.openxmlformats.org/officeDocument/2006/relationships/hyperlink" Target="#'10. PivotTables'!A1"/><Relationship Id="rId9" Type="http://schemas.openxmlformats.org/officeDocument/2006/relationships/image" Target="../media/image3.png"/><Relationship Id="rId14"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44749" TargetMode="External"/><Relationship Id="rId3" Type="http://schemas.openxmlformats.org/officeDocument/2006/relationships/image" Target="../media/image23.png"/><Relationship Id="rId7" Type="http://schemas.openxmlformats.org/officeDocument/2006/relationships/image" Target="../media/image4.svg"/><Relationship Id="rId2" Type="http://schemas.openxmlformats.org/officeDocument/2006/relationships/hyperlink" Target="#'Learn more'!A1"/><Relationship Id="rId1" Type="http://schemas.openxmlformats.org/officeDocument/2006/relationships/hyperlink" Target="#'10. PivotTables'!A62"/><Relationship Id="rId6" Type="http://schemas.openxmlformats.org/officeDocument/2006/relationships/image" Target="../media/image3.png"/><Relationship Id="rId5" Type="http://schemas.openxmlformats.org/officeDocument/2006/relationships/hyperlink" Target="https://go.microsoft.com/fwlink/?linkid=844744" TargetMode="External"/><Relationship Id="rId4" Type="http://schemas.openxmlformats.org/officeDocument/2006/relationships/hyperlink" Target="#'10. PivotTables'!A1"/></Relationships>
</file>

<file path=xl/drawings/_rels/drawing12.xml.rels><?xml version="1.0" encoding="UTF-8" standalone="yes"?>
<Relationships xmlns="http://schemas.openxmlformats.org/package/2006/relationships"><Relationship Id="rId8" Type="http://schemas.openxmlformats.org/officeDocument/2006/relationships/image" Target="../media/image38.svg"/><Relationship Id="rId3" Type="http://schemas.openxmlformats.org/officeDocument/2006/relationships/hyperlink" Target="http://go.microsoft.com/fwlink/?LinkId=844969" TargetMode="External"/><Relationship Id="rId7" Type="http://schemas.openxmlformats.org/officeDocument/2006/relationships/image" Target="../media/image27.png"/><Relationship Id="rId2" Type="http://schemas.openxmlformats.org/officeDocument/2006/relationships/hyperlink" Target="http://go.microsoft.com/fwlink/?LinkId=846285" TargetMode="External"/><Relationship Id="rId1" Type="http://schemas.openxmlformats.org/officeDocument/2006/relationships/image" Target="../media/image24.PNG"/><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hyperlink" Target="http://go.microsoft.com/fwlink/?LinkId=846286"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744950"/>
          <a:ext cx="5695950" cy="3863975"/>
          <a:chOff x="323850" y="16837043"/>
          <a:chExt cx="5737224" cy="3702054"/>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477000" y="15425865"/>
          <a:ext cx="3305175" cy="1849310"/>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944913"/>
          <a:ext cx="5695950"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486525" y="10721969"/>
          <a:ext cx="35623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xmlns=""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532170" y="7512049"/>
          <a:ext cx="2545282"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xmlns=""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
            </a: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5888"/>
          <a:ext cx="5695950" cy="7225862"/>
          <a:chOff x="346284" y="5905938"/>
          <a:chExt cx="5737225" cy="6997262"/>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048750" y="3495675"/>
          <a:ext cx="21621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xmlns=""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695950" cy="4572000"/>
          <a:chOff x="326572" y="266702"/>
          <a:chExt cx="5705475" cy="4657728"/>
        </a:xfrm>
      </xdr:grpSpPr>
      <xdr:grpSp>
        <xdr:nvGrpSpPr>
          <xdr:cNvPr id="16" name="Add numbers instruction">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695950"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9304420" y="1143000"/>
          <a:ext cx="2049380" cy="1769645"/>
          <a:chOff x="9304420" y="1209675"/>
          <a:chExt cx="2049380"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483663"/>
          <a:ext cx="5695950"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6705600" y="9378929"/>
          <a:ext cx="3482574" cy="2308246"/>
          <a:chOff x="6705600" y="9845654"/>
          <a:chExt cx="3482574" cy="23082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8388292"/>
          <a:ext cx="5695950"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2561470"/>
          <a:ext cx="5695950"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9"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2" tooltip="Select to learn about filling a formula down into adjacent cells from the web"/>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0A000000}"/>
            </a:ext>
          </a:extLst>
        </xdr:cNvPr>
        <xdr:cNvGrpSpPr/>
      </xdr:nvGrpSpPr>
      <xdr:grpSpPr>
        <a:xfrm>
          <a:off x="6403975" y="12300756"/>
          <a:ext cx="3768724" cy="1161191"/>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xmlns=""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id="{00000000-0008-0000-0300-000007000000}"/>
            </a:ext>
          </a:extLst>
        </xdr:cNvPr>
        <xdr:cNvGrpSpPr/>
      </xdr:nvGrpSpPr>
      <xdr:grpSpPr>
        <a:xfrm>
          <a:off x="8420099" y="2476500"/>
          <a:ext cx="1657351" cy="1228724"/>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276975" y="11239500"/>
          <a:ext cx="9337225" cy="3138237"/>
          <a:chOff x="6276975" y="11658600"/>
          <a:chExt cx="9127486" cy="3138237"/>
        </a:xfrm>
      </xdr:grpSpPr>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698182"/>
          <a:ext cx="5695084"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392400"/>
          <a:ext cx="5695950" cy="4752975"/>
          <a:chOff x="400050" y="15944850"/>
          <a:chExt cx="5695950" cy="4619625"/>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5695950" cy="3940174"/>
          <a:chOff x="390525" y="5943600"/>
          <a:chExt cx="5695950" cy="3940174"/>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02000000}"/>
            </a:ext>
          </a:extLst>
        </xdr:cNvPr>
        <xdr:cNvGrpSpPr/>
      </xdr:nvGrpSpPr>
      <xdr:grpSpPr>
        <a:xfrm>
          <a:off x="8477250" y="8172449"/>
          <a:ext cx="3314700" cy="1704976"/>
          <a:chOff x="8477250" y="8591549"/>
          <a:chExt cx="3314700" cy="1504951"/>
        </a:xfrm>
      </xdr:grpSpPr>
      <xdr:pic>
        <xdr:nvPicPr>
          <xdr:cNvPr id="227" name="Graphic 9" descr="Hike">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xmlns="" r:embed="rId14"/>
              </a:ext>
            </a:extLst>
          </a:blip>
          <a:stretch>
            <a:fillRect/>
          </a:stretch>
        </xdr:blipFill>
        <xdr:spPr>
          <a:xfrm>
            <a:off x="8477250" y="8682899"/>
            <a:ext cx="420378" cy="420378"/>
          </a:xfrm>
          <a:prstGeom prst="rect">
            <a:avLst/>
          </a:prstGeom>
        </xdr:spPr>
      </xdr:pic>
      <xdr:sp macro="" textlink="">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itchFamily="34" charset="0"/>
                <a:cs typeface="Segoe UI Light" panose="020B0502040204020203" pitchFamily="34" charset="0"/>
              </a:rPr>
              <a:t>Get &amp; Transform </a:t>
            </a:r>
            <a:r>
              <a:rPr lang="en-US" sz="1100" kern="0" baseline="0">
                <a:solidFill>
                  <a:schemeClr val="bg2">
                    <a:lumMod val="25000"/>
                  </a:schemeClr>
                </a:solidFill>
                <a:ea typeface="Segoe UI"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23850" y="257175"/>
          <a:ext cx="5695950" cy="4619625"/>
          <a:chOff x="323850" y="257175"/>
          <a:chExt cx="5695950" cy="4619625"/>
        </a:xfrm>
      </xdr:grpSpPr>
      <xdr:grpSp>
        <xdr:nvGrpSpPr>
          <xdr:cNvPr id="10" name="Group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695950"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id="{00000000-0008-0000-0400-00000A000000}"/>
            </a:ext>
          </a:extLst>
        </xdr:cNvPr>
        <xdr:cNvGrpSpPr/>
      </xdr:nvGrpSpPr>
      <xdr:grpSpPr>
        <a:xfrm>
          <a:off x="6381749" y="6105525"/>
          <a:ext cx="4967338" cy="950296"/>
          <a:chOff x="6381749" y="6524625"/>
          <a:chExt cx="4967338" cy="950296"/>
        </a:xfrm>
      </xdr:grpSpPr>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286499" y="7362825"/>
          <a:ext cx="2881363" cy="1847850"/>
          <a:chOff x="6286499" y="7781925"/>
          <a:chExt cx="2881363" cy="1847850"/>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695950" cy="4972050"/>
          <a:chOff x="390525" y="5943600"/>
          <a:chExt cx="5695950" cy="5029200"/>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r>
              <a:rPr lang="en-US" sz="1100">
                <a:latin typeface="Segoe UI" panose="020B0502040204020203" pitchFamily="34" charset="0"/>
                <a:cs typeface="Segoe UI" panose="020B0502040204020203" pitchFamily="34" charset="0"/>
              </a:rPr>
              <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695950"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403974" y="9925049"/>
          <a:ext cx="40925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id="{00000000-0008-0000-0400-000006000000}"/>
            </a:ext>
          </a:extLst>
        </xdr:cNvPr>
        <xdr:cNvGrpSpPr/>
      </xdr:nvGrpSpPr>
      <xdr:grpSpPr>
        <a:xfrm>
          <a:off x="6448425" y="13173075"/>
          <a:ext cx="37337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695950" cy="3238500"/>
          <a:chOff x="390525" y="14468475"/>
          <a:chExt cx="5695950" cy="3267075"/>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8" tooltip="Select to learn about Transpose (rotate) data from rows to columns or vice versa from the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1"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2"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id="{00000000-0008-0000-0400-000003000000}"/>
            </a:ext>
          </a:extLst>
        </xdr:cNvPr>
        <xdr:cNvGrpSpPr/>
      </xdr:nvGrpSpPr>
      <xdr:grpSpPr>
        <a:xfrm>
          <a:off x="4743450" y="2276475"/>
          <a:ext cx="544973" cy="666667"/>
          <a:chOff x="4838700" y="2324100"/>
          <a:chExt cx="544973" cy="666667"/>
        </a:xfrm>
      </xdr:grpSpPr>
      <xdr:pic>
        <xdr:nvPicPr>
          <xdr:cNvPr id="2" name="Picture 1" descr="Paste butt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a:extLst>
            <a:ext uri="{FF2B5EF4-FFF2-40B4-BE49-F238E27FC236}">
              <a16:creationId xmlns:a16="http://schemas.microsoft.com/office/drawing/2014/main" id="{00000000-0008-0000-0400-000004000000}"/>
            </a:ext>
          </a:extLst>
        </xdr:cNvPr>
        <xdr:cNvGrpSpPr/>
      </xdr:nvGrpSpPr>
      <xdr:grpSpPr>
        <a:xfrm>
          <a:off x="8448675" y="2047875"/>
          <a:ext cx="158115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xmlns="" r:embed="rId15"/>
              </a:ext>
            </a:extLst>
          </a:blip>
          <a:stretch>
            <a:fillRect/>
          </a:stretch>
        </xdr:blipFill>
        <xdr:spPr>
          <a:xfrm>
            <a:off x="8448675" y="2170284"/>
            <a:ext cx="444647" cy="444647"/>
          </a:xfrm>
          <a:prstGeom prst="rect">
            <a:avLst/>
          </a:prstGeom>
        </xdr:spPr>
      </xdr:pic>
      <xdr:sp macro="" textlink="">
        <xdr:nvSpPr>
          <xdr:cNvPr id="108" name="Step"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06000000}"/>
            </a:ext>
          </a:extLst>
        </xdr:cNvPr>
        <xdr:cNvGrpSpPr/>
      </xdr:nvGrpSpPr>
      <xdr:grpSpPr>
        <a:xfrm>
          <a:off x="6372225" y="2095499"/>
          <a:ext cx="3800475" cy="156210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28</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695950"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id="{00000000-0008-0000-0500-00005F000000}"/>
              </a:ext>
            </a:extLst>
          </xdr:cNvPr>
          <xdr:cNvPicPr>
            <a:picLocks noChangeAspect="1"/>
          </xdr:cNvPicPr>
        </xdr:nvPicPr>
        <xdr:blipFill rotWithShape="1">
          <a:blip xmlns:r="http://schemas.openxmlformats.org/officeDocument/2006/relationships" r:embed="rId5"/>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4371975"/>
          <a:ext cx="5695950"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9658350" y="5067299"/>
          <a:ext cx="214312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47</xdr:row>
      <xdr:rowOff>171450</xdr:rowOff>
    </xdr:from>
    <xdr:to>
      <xdr:col>1</xdr:col>
      <xdr:colOff>5238750</xdr:colOff>
      <xdr:row>68</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8553450"/>
          <a:ext cx="5695950"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68</xdr:row>
      <xdr:rowOff>161925</xdr:rowOff>
    </xdr:from>
    <xdr:to>
      <xdr:col>1</xdr:col>
      <xdr:colOff>5238051</xdr:colOff>
      <xdr:row>84</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1782425"/>
          <a:ext cx="5695950" cy="2957474"/>
          <a:chOff x="389826" y="12352299"/>
          <a:chExt cx="5695950" cy="2806700"/>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9" tooltip="Select to learn about sorting data in a range or table from the web"/>
            <a:extLst>
              <a:ext uri="{FF2B5EF4-FFF2-40B4-BE49-F238E27FC236}">
                <a16:creationId xmlns:a16="http://schemas.microsoft.com/office/drawing/2014/main"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2" tooltip="Select to learn about filtering data in a range or table from the web"/>
            <a:extLst>
              <a:ext uri="{FF2B5EF4-FFF2-40B4-BE49-F238E27FC236}">
                <a16:creationId xmlns:a16="http://schemas.microsoft.com/office/drawing/2014/main"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695950"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524500"/>
          <a:ext cx="5695950"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8820150" y="11515725"/>
          <a:ext cx="2162175" cy="1276350"/>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xmlns=""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7648575" y="3543299"/>
          <a:ext cx="2552699" cy="1228725"/>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04000000}"/>
            </a:ext>
          </a:extLst>
        </xdr:cNvPr>
        <xdr:cNvGrpSpPr/>
      </xdr:nvGrpSpPr>
      <xdr:grpSpPr>
        <a:xfrm>
          <a:off x="6800850" y="8486775"/>
          <a:ext cx="4000500" cy="948102"/>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xmlns="" r:embed="rId9"/>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305925"/>
          <a:ext cx="5695950"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4087475"/>
          <a:ext cx="5695950" cy="3346848"/>
          <a:chOff x="385765" y="14586347"/>
          <a:chExt cx="5695950" cy="3267075"/>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1" tooltip="Select to go back to cell A1 in this worksheet"/>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2"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xmlns="" r:embed="rId14"/>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5"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xmlns="" r:embed="rId14"/>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6" tooltip="Select to learn about using calculated columns in an Excel table from the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xmlns=""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695950" cy="4562475"/>
          <a:chOff x="333375" y="276225"/>
          <a:chExt cx="5693569" cy="4636294"/>
        </a:xfrm>
      </xdr:grpSpPr>
      <xdr:sp macro="" textlink="">
        <xdr:nvSpPr>
          <xdr:cNvPr id="89" name="Rectangle 88" descr="Background">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500"/>
          <a:ext cx="5695950"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8591550" y="6951739"/>
          <a:ext cx="2447924" cy="1858886"/>
          <a:chOff x="8591550" y="7370839"/>
          <a:chExt cx="2447924" cy="1858886"/>
        </a:xfrm>
      </xdr:grpSpPr>
      <xdr:sp macro="" textlink="">
        <xdr:nvSpPr>
          <xdr:cNvPr id="134" name="Arc 133" descr="Arrow">
            <a:extLst>
              <a:ext uri="{FF2B5EF4-FFF2-40B4-BE49-F238E27FC236}">
                <a16:creationId xmlns:a16="http://schemas.microsoft.com/office/drawing/2014/main"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8572500" y="847725"/>
          <a:ext cx="2638425" cy="2686050"/>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1820525"/>
          <a:ext cx="5695950"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9" tooltip="Select to go back to cell A1 in this worksheet"/>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10" tooltip="Select to learn about applying data validation to cells from the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xmlns="" r:embed="rId12"/>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3" tooltip="Select to learn about creating a drop-down list from the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xmlns=""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695950" cy="3638550"/>
          <a:chOff x="390525" y="5943600"/>
          <a:chExt cx="5695950" cy="3698874"/>
        </a:xfrm>
      </xdr:grpSpPr>
      <xdr:sp macro="" textlink="">
        <xdr:nvSpPr>
          <xdr:cNvPr id="102" name="Rectangle 101" descr="Background">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51"/>
          <a:ext cx="5695950" cy="3857624"/>
          <a:chOff x="390525" y="9801225"/>
          <a:chExt cx="5695950" cy="3790949"/>
        </a:xfrm>
      </xdr:grpSpPr>
      <xdr:sp macro="" textlink="">
        <xdr:nvSpPr>
          <xdr:cNvPr id="121" name="Rectangle 120" descr="Background">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335000"/>
          <a:ext cx="5695950" cy="2863850"/>
          <a:chOff x="0" y="1"/>
          <a:chExt cx="5695950" cy="2806700"/>
        </a:xfrm>
      </xdr:grpSpPr>
      <xdr:sp macro="" textlink="">
        <xdr:nvSpPr>
          <xdr:cNvPr id="133" name="Rectangle 132" descr="Backgro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xmlns=""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xmlns=""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695950" cy="4114800"/>
          <a:chOff x="333375" y="266700"/>
          <a:chExt cx="5695950" cy="4114800"/>
        </a:xfrm>
      </xdr:grpSpPr>
      <xdr:sp macro="" textlink="">
        <xdr:nvSpPr>
          <xdr:cNvPr id="77" name="Rectangle 76" descr="Background">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02000000}"/>
            </a:ext>
          </a:extLst>
        </xdr:cNvPr>
        <xdr:cNvGrpSpPr/>
      </xdr:nvGrpSpPr>
      <xdr:grpSpPr>
        <a:xfrm>
          <a:off x="7099696" y="3155155"/>
          <a:ext cx="3177779" cy="11787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881513" y="3480197"/>
            <a:ext cx="243562" cy="241511"/>
          </a:xfrm>
          <a:prstGeom prst="rect">
            <a:avLst/>
          </a:prstGeom>
        </xdr:spPr>
      </xdr:pic>
    </xdr:grpSp>
    <xdr:clientData/>
  </xdr:twoCellAnchor>
  <xdr:twoCellAnchor>
    <xdr:from>
      <xdr:col>3</xdr:col>
      <xdr:colOff>352425</xdr:colOff>
      <xdr:row>21</xdr:row>
      <xdr:rowOff>47625</xdr:rowOff>
    </xdr:from>
    <xdr:to>
      <xdr:col>6</xdr:col>
      <xdr:colOff>714375</xdr:colOff>
      <xdr:row>32</xdr:row>
      <xdr:rowOff>85724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096125" y="3209925"/>
          <a:ext cx="27622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695950" cy="4619625"/>
          <a:chOff x="0" y="0"/>
          <a:chExt cx="5695950"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695950" cy="4619625"/>
          <a:chOff x="390525" y="5943600"/>
          <a:chExt cx="5695950" cy="4619625"/>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id="{00000000-0008-0000-0900-00000E000000}"/>
            </a:ext>
          </a:extLst>
        </xdr:cNvPr>
        <xdr:cNvGrpSpPr/>
      </xdr:nvGrpSpPr>
      <xdr:grpSpPr>
        <a:xfrm>
          <a:off x="7315200" y="10420350"/>
          <a:ext cx="5443586" cy="2514600"/>
          <a:chOff x="7315200" y="10839450"/>
          <a:chExt cx="5443586" cy="2514600"/>
        </a:xfrm>
      </xdr:grpSpPr>
      <xdr:sp macro="" textlink="">
        <xdr:nvSpPr>
          <xdr:cNvPr id="131" name="Freeform: Shape 130" descr="Bracket lin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695950"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id="{00000000-0008-0000-0900-00000A000000}"/>
            </a:ext>
          </a:extLst>
        </xdr:cNvPr>
        <xdr:cNvGrpSpPr/>
      </xdr:nvGrpSpPr>
      <xdr:grpSpPr>
        <a:xfrm>
          <a:off x="6048375" y="6181725"/>
          <a:ext cx="5419725" cy="3213895"/>
          <a:chOff x="6048375" y="6600825"/>
          <a:chExt cx="5419725" cy="3213895"/>
        </a:xfrm>
      </xdr:grpSpPr>
      <xdr:sp macro="" textlink="">
        <xdr:nvSpPr>
          <xdr:cNvPr id="116" name="Step" descr="Category axis">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reeform: Shape 135" descr="Bracket lin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695950" cy="3267075"/>
          <a:chOff x="0" y="0"/>
          <a:chExt cx="5695950" cy="3267075"/>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8"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1" tooltip="Select to learn about creating a combo chart with a secondary axis from the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2" tooltip="Select to learn about Available chart types in Office from the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a:extLst>
            <a:ext uri="{FF2B5EF4-FFF2-40B4-BE49-F238E27FC236}">
              <a16:creationId xmlns:a16="http://schemas.microsoft.com/office/drawing/2014/main" id="{00000000-0008-0000-0900-000002000000}"/>
            </a:ext>
          </a:extLst>
        </xdr:cNvPr>
        <xdr:cNvGrpSpPr/>
      </xdr:nvGrpSpPr>
      <xdr:grpSpPr>
        <a:xfrm>
          <a:off x="11658600" y="13392149"/>
          <a:ext cx="1447800" cy="1143001"/>
          <a:chOff x="11627124" y="13830299"/>
          <a:chExt cx="1447800" cy="1143001"/>
        </a:xfrm>
      </xdr:grpSpPr>
      <xdr:sp macro="" textlink="">
        <xdr:nvSpPr>
          <xdr:cNvPr id="160" name="Freeform: Shape 159" descr="Bracket lin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03000000}"/>
            </a:ext>
          </a:extLst>
        </xdr:cNvPr>
        <xdr:cNvGrpSpPr/>
      </xdr:nvGrpSpPr>
      <xdr:grpSpPr>
        <a:xfrm>
          <a:off x="7096783" y="14668500"/>
          <a:ext cx="2999716" cy="1219200"/>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7096125" y="15256726"/>
            <a:ext cx="471716" cy="439736"/>
          </a:xfrm>
          <a:prstGeom prst="rect">
            <a:avLst/>
          </a:prstGeom>
        </xdr:spPr>
      </xdr:pic>
    </xdr:grpSp>
    <xdr:clientData/>
  </xdr:twoCellAnchor>
  <xdr:twoCellAnchor>
    <xdr:from>
      <xdr:col>4</xdr:col>
      <xdr:colOff>390524</xdr:colOff>
      <xdr:row>2</xdr:row>
      <xdr:rowOff>38100</xdr:rowOff>
    </xdr:from>
    <xdr:to>
      <xdr:col>7</xdr:col>
      <xdr:colOff>257175</xdr:colOff>
      <xdr:row>14</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152400</xdr:colOff>
      <xdr:row>82</xdr:row>
      <xdr:rowOff>57150</xdr:rowOff>
    </xdr:from>
    <xdr:to>
      <xdr:col>5</xdr:col>
      <xdr:colOff>514350</xdr:colOff>
      <xdr:row>91</xdr:row>
      <xdr:rowOff>133350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695950" cy="4619625"/>
          <a:chOff x="0" y="52174"/>
          <a:chExt cx="5695950"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524500"/>
          <a:ext cx="5695950"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408228"/>
          <a:ext cx="5695950"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4" tooltip="Select to go back to cell A1 in this worksheet"/>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5"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8"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804912</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6648450" y="2451566"/>
          <a:ext cx="1404987"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71451" y="285750"/>
          <a:ext cx="9309411" cy="5730553"/>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730553"/>
            <a:chOff x="171451" y="285750"/>
            <a:chExt cx="9309411" cy="5730553"/>
          </a:xfrm>
        </xdr:grpSpPr>
        <xdr:grpSp>
          <xdr:nvGrpSpPr>
            <xdr:cNvPr id="3" name="Group 2">
              <a:extLst>
                <a:ext uri="{FF2B5EF4-FFF2-40B4-BE49-F238E27FC236}">
                  <a16:creationId xmlns:a16="http://schemas.microsoft.com/office/drawing/2014/main" id="{2D3AF418-A094-466E-AB09-35BE09D72168}"/>
                </a:ext>
              </a:extLst>
            </xdr:cNvPr>
            <xdr:cNvGrpSpPr/>
          </xdr:nvGrpSpPr>
          <xdr:grpSpPr>
            <a:xfrm>
              <a:off x="171451" y="285750"/>
              <a:ext cx="9309411" cy="5730553"/>
              <a:chOff x="171451" y="285750"/>
              <a:chExt cx="9309411" cy="5730553"/>
            </a:xfrm>
          </xdr:grpSpPr>
          <xdr:sp macro="" textlink="">
            <xdr:nvSpPr>
              <xdr:cNvPr id="27" name="Rectangle 26" descr="Background">
                <a:extLst>
                  <a:ext uri="{FF2B5EF4-FFF2-40B4-BE49-F238E27FC236}">
                    <a16:creationId xmlns:a16="http://schemas.microsoft.com/office/drawing/2014/main"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descr="Background">
                <a:extLst>
                  <a:ext uri="{FF2B5EF4-FFF2-40B4-BE49-F238E27FC236}">
                    <a16:creationId xmlns:a16="http://schemas.microsoft.com/office/drawing/2014/main"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1" name="Welcome Message" descr="Keep going. There are lots more ways to simplify your work:">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Welcome Message" descr="More questions about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pic>
          <xdr:nvPicPr>
            <xdr:cNvPr id="41" name="Picture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219858" y="1573643"/>
              <a:ext cx="685267" cy="789547"/>
            </a:xfrm>
            <a:prstGeom prst="rect">
              <a:avLst/>
            </a:prstGeom>
          </xdr:spPr>
        </xdr:pic>
        <xdr:sp macro="" textlink="">
          <xdr:nvSpPr>
            <xdr:cNvPr id="42" name="Welcome Message" descr="Click the Tell Me button and type what you want to know">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Help                  </a:t>
              </a:r>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button to find out more about Excel.</a:t>
              </a:r>
            </a:p>
          </xdr:txBody>
        </xdr:sp>
        <xdr:cxnSp macro="">
          <xdr:nvCxnSpPr>
            <xdr:cNvPr id="45" name="Straight Connector 44" descr="Decorative line">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descr="Learn more">
              <a:hlinkClick xmlns:r="http://schemas.openxmlformats.org/officeDocument/2006/relationships" r:id="rId2" tooltip="Select to learn more"/>
              <a:extLst>
                <a:ext uri="{FF2B5EF4-FFF2-40B4-BE49-F238E27FC236}">
                  <a16:creationId xmlns:a16="http://schemas.microsoft.com/office/drawing/2014/main" id="{66C3B3BB-A6A3-4CC8-9475-F3402CDF6730}"/>
                </a:ext>
              </a:extLst>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Box 38" descr="Learn more">
              <a:hlinkClick xmlns:r="http://schemas.openxmlformats.org/officeDocument/2006/relationships" r:id="rId3" tooltip="Select to learn more"/>
              <a:extLst>
                <a:ext uri="{FF2B5EF4-FFF2-40B4-BE49-F238E27FC236}">
                  <a16:creationId xmlns:a16="http://schemas.microsoft.com/office/drawing/2014/main" id="{F204882E-8102-4F0D-94C6-6A7BA4A9910A}"/>
                </a:ext>
              </a:extLst>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Box 39" descr="Learn more">
              <a:hlinkClick xmlns:r="http://schemas.openxmlformats.org/officeDocument/2006/relationships" r:id="rId4" tooltip="Select to learn more"/>
              <a:extLst>
                <a:ext uri="{FF2B5EF4-FFF2-40B4-BE49-F238E27FC236}">
                  <a16:creationId xmlns:a16="http://schemas.microsoft.com/office/drawing/2014/main" id="{2E432F11-D4FE-4736-8D68-2D1E8279A7EF}"/>
                </a:ext>
              </a:extLst>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Box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50" name="TextBox 49" descr="LinkedIn Learning&#10;Video courses for all levels—from beginner to advanced. Take at your own pace">
              <a:extLst>
                <a:ext uri="{FF2B5EF4-FFF2-40B4-BE49-F238E27FC236}">
                  <a16:creationId xmlns:a16="http://schemas.microsoft.com/office/drawing/2014/main" id="{D328B2FD-D3E6-4D43-B074-1476818B0EF7}"/>
                </a:ext>
              </a:extLst>
            </xdr:cNvPr>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60" name="Picture 59" descr="Computer">
              <a:extLst>
                <a:ext uri="{FF2B5EF4-FFF2-40B4-BE49-F238E27FC236}">
                  <a16:creationId xmlns:a16="http://schemas.microsoft.com/office/drawing/2014/main" id="{E84813DA-DE86-402F-8F54-6E9B73A20DF3}"/>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Box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6"/>
            <a:stretch>
              <a:fillRect/>
            </a:stretch>
          </xdr:blipFill>
          <xdr:spPr>
            <a:xfrm>
              <a:off x="3952875" y="3467216"/>
              <a:ext cx="926984" cy="774603"/>
            </a:xfrm>
            <a:prstGeom prst="rect">
              <a:avLst/>
            </a:prstGeom>
          </xdr:spPr>
        </xdr:pic>
      </xdr:grpSp>
      <xdr:grpSp>
        <xdr:nvGrpSpPr>
          <xdr:cNvPr id="57" name="Group 56" descr="What else is new?">
            <a:extLst>
              <a:ext uri="{FF2B5EF4-FFF2-40B4-BE49-F238E27FC236}">
                <a16:creationId xmlns:a16="http://schemas.microsoft.com/office/drawing/2014/main" id="{35226574-39A3-4CB2-966D-E8376FD2852E}"/>
              </a:ext>
            </a:extLst>
          </xdr:cNvPr>
          <xdr:cNvGrpSpPr/>
        </xdr:nvGrpSpPr>
        <xdr:grpSpPr>
          <a:xfrm>
            <a:off x="6717588" y="3461037"/>
            <a:ext cx="974505" cy="786961"/>
            <a:chOff x="6717588" y="3592566"/>
            <a:chExt cx="974505" cy="786961"/>
          </a:xfrm>
        </xdr:grpSpPr>
        <xdr:pic>
          <xdr:nvPicPr>
            <xdr:cNvPr id="49" name="Graphic 48" descr="Newspaper">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6873201" y="3769928"/>
              <a:ext cx="669283" cy="609599"/>
            </a:xfrm>
            <a:prstGeom prst="rect">
              <a:avLst/>
            </a:prstGeom>
          </xdr:spPr>
        </xdr:pic>
        <xdr:grpSp>
          <xdr:nvGrpSpPr>
            <xdr:cNvPr id="56" name="Group 55" descr="Radiating lines">
              <a:extLst>
                <a:ext uri="{FF2B5EF4-FFF2-40B4-BE49-F238E27FC236}">
                  <a16:creationId xmlns:a16="http://schemas.microsoft.com/office/drawing/2014/main" id="{702F2F78-B7B0-446F-ADB3-8EAA3C241065}"/>
                </a:ext>
              </a:extLst>
            </xdr:cNvPr>
            <xdr:cNvGrpSpPr/>
          </xdr:nvGrpSpPr>
          <xdr:grpSpPr>
            <a:xfrm>
              <a:off x="6717588" y="3592566"/>
              <a:ext cx="974505" cy="414995"/>
              <a:chOff x="6717588" y="3592566"/>
              <a:chExt cx="974505" cy="414995"/>
            </a:xfrm>
          </xdr:grpSpPr>
          <xdr:cxnSp macro="">
            <xdr:nvCxnSpPr>
              <xdr:cNvPr id="51" name="Straight Connector 50" descr="Line">
                <a:extLst>
                  <a:ext uri="{FF2B5EF4-FFF2-40B4-BE49-F238E27FC236}">
                    <a16:creationId xmlns:a16="http://schemas.microsoft.com/office/drawing/2014/main"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descr="Line">
                <a:extLst>
                  <a:ext uri="{FF2B5EF4-FFF2-40B4-BE49-F238E27FC236}">
                    <a16:creationId xmlns:a16="http://schemas.microsoft.com/office/drawing/2014/main"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descr="Line">
                <a:extLst>
                  <a:ext uri="{FF2B5EF4-FFF2-40B4-BE49-F238E27FC236}">
                    <a16:creationId xmlns:a16="http://schemas.microsoft.com/office/drawing/2014/main"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descr="Line">
                <a:extLst>
                  <a:ext uri="{FF2B5EF4-FFF2-40B4-BE49-F238E27FC236}">
                    <a16:creationId xmlns:a16="http://schemas.microsoft.com/office/drawing/2014/main"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Line">
                <a:extLst>
                  <a:ext uri="{FF2B5EF4-FFF2-40B4-BE49-F238E27FC236}">
                    <a16:creationId xmlns:a16="http://schemas.microsoft.com/office/drawing/2014/main"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Welcome.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uthor" refreshedDate="45842.564099768519" createdVersion="6" refreshedVersion="8" minRefreshableVersion="3" recordCount="6">
  <cacheSource type="worksheet">
    <worksheetSource name="PivotTableData" r:id="rId2"/>
  </cacheSource>
  <cacheFields count="4">
    <cacheField name="Date" numFmtId="14">
      <sharedItems containsSemiMixedTypes="0" containsNonDate="0" containsDate="1" containsString="0" minDate="2025-05-08T00:00:00" maxDate="2025-07-05T00:00:00"/>
    </cacheField>
    <cacheField name="Salesperson" numFmtId="0">
      <sharedItems count="4">
        <s v="Anne"/>
        <s v="Mark"/>
        <s v="Mariya"/>
        <s v="Laura"/>
      </sharedItems>
    </cacheField>
    <cacheField name="Product" numFmtId="0">
      <sharedItems count="3">
        <s v="Beer"/>
        <s v="Wine"/>
        <s v="Soda"/>
      </sharedItems>
    </cacheField>
    <cacheField name="Amount"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6241.676534143517" createdVersion="6" refreshedVersion="6" minRefreshableVersion="3" recordCount="6">
  <cacheSource type="worksheet">
    <worksheetSource name="PivotTableData2"/>
  </cacheSource>
  <cacheFields count="4">
    <cacheField name="Date" numFmtId="14">
      <sharedItems containsSemiMixedTypes="0" containsNonDate="0" containsDate="1" containsString="0" minDate="2026-06-11T00:00:00" maxDate="2026-08-08T00:00:00"/>
    </cacheField>
    <cacheField name="Salesperson" numFmtId="0">
      <sharedItems/>
    </cacheField>
    <cacheField name="Product" numFmtId="0">
      <sharedItems count="3">
        <s v="Beer"/>
        <s v="Wine"/>
        <s v="Soda"/>
      </sharedItems>
    </cacheField>
    <cacheField name="Amount"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
  <r>
    <d v="2025-05-08T00:00:00"/>
    <x v="0"/>
    <x v="0"/>
    <n v="1400"/>
  </r>
  <r>
    <d v="2025-05-13T00:00:00"/>
    <x v="1"/>
    <x v="1"/>
    <n v="1010"/>
  </r>
  <r>
    <d v="2025-05-30T00:00:00"/>
    <x v="0"/>
    <x v="0"/>
    <n v="750"/>
  </r>
  <r>
    <d v="2025-06-03T00:00:00"/>
    <x v="1"/>
    <x v="2"/>
    <n v="510"/>
  </r>
  <r>
    <d v="2025-06-23T00:00:00"/>
    <x v="2"/>
    <x v="2"/>
    <n v="1600"/>
  </r>
  <r>
    <d v="2025-07-04T00:00:00"/>
    <x v="3"/>
    <x v="1"/>
    <n v="680"/>
  </r>
</pivotCacheRecords>
</file>

<file path=xl/pivotCache/pivotCacheRecords2.xml><?xml version="1.0" encoding="utf-8"?>
<pivotCacheRecords xmlns="http://schemas.openxmlformats.org/spreadsheetml/2006/main" xmlns:r="http://schemas.openxmlformats.org/officeDocument/2006/relationships" count="6">
  <r>
    <d v="2026-06-11T00:00:00"/>
    <s v="Anne"/>
    <x v="0"/>
    <n v="1400"/>
  </r>
  <r>
    <d v="2026-06-16T00:00:00"/>
    <s v="Mark"/>
    <x v="1"/>
    <n v="1010"/>
  </r>
  <r>
    <d v="2026-07-03T00:00:00"/>
    <s v="Anne"/>
    <x v="0"/>
    <n v="750"/>
  </r>
  <r>
    <d v="2026-07-07T00:00:00"/>
    <s v="Mark"/>
    <x v="2"/>
    <n v="510"/>
  </r>
  <r>
    <d v="2026-07-27T00:00:00"/>
    <s v="Mariya"/>
    <x v="2"/>
    <n v="1600"/>
  </r>
  <r>
    <d v="2026-08-07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42:D46" firstHeaderRow="1" firstDataRow="1" firstDataCol="1"/>
  <pivotFields count="4">
    <pivotField numFmtId="14" showAll="0"/>
    <pivotField showAll="0"/>
    <pivotField axis="axisRow" showAll="0">
      <items count="4">
        <item x="0"/>
        <item x="2"/>
        <item x="1"/>
        <item t="default"/>
      </items>
    </pivotField>
    <pivotField dataField="1" numFmtId="42" showAll="0"/>
  </pivotFields>
  <rowFields count="1">
    <field x="2"/>
  </rowFields>
  <rowItems count="4">
    <i>
      <x/>
    </i>
    <i>
      <x v="1"/>
    </i>
    <i>
      <x v="2"/>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Sample"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1:F16" firstHeaderRow="1" firstDataRow="1" firstDataCol="1"/>
  <pivotFields count="4">
    <pivotField numFmtId="14" subtotalTop="0" showAll="0"/>
    <pivotField axis="axisRow" subtotalTop="0" showAll="0">
      <items count="5">
        <item x="0"/>
        <item x="3"/>
        <item x="2"/>
        <item x="1"/>
        <item t="default"/>
      </items>
    </pivotField>
    <pivotField subtotalTop="0" showAll="0">
      <items count="4">
        <item x="0"/>
        <item x="2"/>
        <item x="1"/>
        <item t="default"/>
      </items>
    </pivotField>
    <pivotField dataField="1" numFmtId="165" subtotalTop="0" showAll="0"/>
  </pivotFields>
  <rowFields count="1">
    <field x="1"/>
  </rowFields>
  <rowItems count="5">
    <i>
      <x/>
    </i>
    <i>
      <x v="1"/>
    </i>
    <i>
      <x v="2"/>
    </i>
    <i>
      <x v="3"/>
    </i>
    <i t="grand">
      <x/>
    </i>
  </rowItems>
  <colItems count="1">
    <i/>
  </colItems>
  <dataFields count="1">
    <dataField name="Sum of Amount" fld="3" baseField="2" baseItem="1" numFmtId="5"/>
  </dataFields>
  <formats count="1">
    <format dxfId="5">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2" name="Sort" displayName="Sort" ref="C31:F37">
  <autoFilter ref="C31:F37"/>
  <sortState ref="C32:F37">
    <sortCondition sortBy="cellColor" ref="F33" dxfId="11"/>
  </sortState>
  <tableColumns count="4">
    <tableColumn id="1" name="Expense date" totalsRowLabel="Total" dataCellStyle="Date"/>
    <tableColumn id="2" name="Employee"/>
    <tableColumn id="4" name="Food"/>
    <tableColumn id="5"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id="13" name="Filter" displayName="Filter" ref="C49:F55">
  <autoFilter ref="C49:F55">
    <filterColumn colId="2">
      <customFilters>
        <customFilter operator="greaterThan" val="25"/>
      </customFilters>
    </filterColumn>
    <filterColumn colId="3">
      <dynamicFilter type="aboveAverage" val="2701"/>
    </filterColumn>
  </autoFilter>
  <tableColumns count="4">
    <tableColumn id="1" name="Expense date" totalsRowLabel="Total" dataCellStyle="Date"/>
    <tableColumn id="2" name="Employee"/>
    <tableColumn id="4" name="Food"/>
    <tableColumn id="5"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id="2" name="CalculatedColumns" displayName="CalculatedColumns" ref="C33:H41" totalsRowShown="0" headerRowCellStyle="Heading 3">
  <autoFilter ref="C33:H41"/>
  <tableColumns count="6">
    <tableColumn id="1" name="Department"/>
    <tableColumn id="2" name="Category"/>
    <tableColumn id="3" name="Oct" dataCellStyle="Currency"/>
    <tableColumn id="4" name="Nov" dataCellStyle="Currency"/>
    <tableColumn id="5" name="Dec" dataCellStyle="Currency"/>
    <tableColumn id="6" name="Total" dataDxfId="10" dataCellStyle="Currency">
      <calculatedColumnFormula>SUM(CalculatedColumns[[#This Row],[Oct]:[Dec]])</calculatedColumnFormula>
    </tableColumn>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id="3" name="TotalRows" displayName="TotalRows" ref="C53:E62" totalsRowCount="1" headerRowCellStyle="Heading 3">
  <autoFilter ref="C53:E61"/>
  <tableColumns count="3">
    <tableColumn id="1" name="Department" totalsRowLabel="Total"/>
    <tableColumn id="2" name="Category"/>
    <tableColumn id="6" name="Sales" totalsRowFunction="average" totalsRowDxfId="9"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id="1" name="Table1" displayName="Table1" ref="C5:I15" totalsRowShown="0">
  <autoFilter ref="C5:I15"/>
  <tableColumns count="7">
    <tableColumn id="1" name="Department"/>
    <tableColumn id="2" name="Category"/>
    <tableColumn id="3" name="Oct"/>
    <tableColumn id="4" name="Nov"/>
    <tableColumn id="5" name="Dec"/>
    <tableColumn id="6" name="Jan"/>
    <tableColumn id="7" name="Feb" dataDxfId="8"/>
  </tableColumns>
  <tableStyleInfo name="TableStyleLight2" showFirstColumn="0" showLastColumn="0" showRowStripes="1" showColumnStripes="0"/>
</table>
</file>

<file path=xl/tables/table6.xml><?xml version="1.0" encoding="utf-8"?>
<table xmlns="http://schemas.openxmlformats.org/spreadsheetml/2006/main" id="4" name="Table4" displayName="Table4" ref="F31:F34" totalsRowShown="0" headerRowDxfId="7" headerRowCellStyle="Heading 3">
  <autoFilter ref="F31:F34"/>
  <tableColumns count="1">
    <tableColumn id="1" name="Department"/>
  </tableColumns>
  <tableStyleInfo name="CustomTableStyle" showFirstColumn="0" showLastColumn="0" showRowStripes="1" showColumnStripes="0"/>
</table>
</file>

<file path=xl/tables/table7.xml><?xml version="1.0" encoding="utf-8"?>
<table xmlns="http://schemas.openxmlformats.org/spreadsheetml/2006/main" id="16" name="AnalyzeData" displayName="AnalyzeData" ref="C5:G13" totalsRowShown="0">
  <autoFilter ref="C5:G13"/>
  <tableColumns count="5">
    <tableColumn id="1" name="Department"/>
    <tableColumn id="2" name="Category"/>
    <tableColumn id="3" name="Oct" dataCellStyle="Currency"/>
    <tableColumn id="4" name="Nov" dataCellStyle="Currency"/>
    <tableColumn id="5" name="Dec" dataCellStyle="Currency"/>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8.xml><?xml version="1.0" encoding="utf-8"?>
<table xmlns="http://schemas.openxmlformats.org/spreadsheetml/2006/main" id="17" name="ChartData" displayName="ChartData" ref="C34:G42">
  <autoFilter ref="C34:G42"/>
  <tableColumns count="5">
    <tableColumn id="1" name="Department" totalsRowLabel="Total"/>
    <tableColumn id="2" name="Category"/>
    <tableColumn id="3" name="Oct" dataCellStyle="Currency"/>
    <tableColumn id="4" name="Nov" dataCellStyle="Currency"/>
    <tableColumn id="5"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9.xml><?xml version="1.0" encoding="utf-8"?>
<table xmlns="http://schemas.openxmlformats.org/spreadsheetml/2006/main" id="19" name="SparklineData" displayName="SparklineData" ref="C54:G62">
  <autoFilter ref="C54:G62"/>
  <tableColumns count="5">
    <tableColumn id="1" name="Department" totalsRowLabel="Total"/>
    <tableColumn id="2" name="Category"/>
    <tableColumn id="3" name="Oct" dataCellStyle="Currency"/>
    <tableColumn id="4" name="Nov" dataCellStyle="Currency"/>
    <tableColumn id="5"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10.xml><?xml version="1.0" encoding="utf-8"?>
<table xmlns="http://schemas.openxmlformats.org/spreadsheetml/2006/main" id="24" name="RecommendedChartData" displayName="RecommendedChartData" ref="C5:D11" totalsRowShown="0">
  <autoFilter ref="C5:D11"/>
  <tableColumns count="2">
    <tableColumn id="1" name="Year"/>
    <tableColumn id="2"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1.xml><?xml version="1.0" encoding="utf-8"?>
<table xmlns="http://schemas.openxmlformats.org/spreadsheetml/2006/main" id="26" name="RecommendedChartData2" displayName="RecommendedChartData2" ref="D67:F73" totalsRowShown="0">
  <autoFilter ref="D67:F73"/>
  <tableColumns count="3">
    <tableColumn id="1" name="Date" dataCellStyle="Year"/>
    <tableColumn id="2" name="Conference attendance"/>
    <tableColumn id="3" name="Food sales" dataDxfId="6"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2.xml><?xml version="1.0" encoding="utf-8"?>
<table xmlns="http://schemas.openxmlformats.org/spreadsheetml/2006/main" id="30" name="PivotTableData" displayName="PivotTableData" ref="C3:F9" totalsRowShown="0">
  <autoFilter ref="C3:F9"/>
  <tableColumns count="4">
    <tableColumn id="1" name="Date" dataCellStyle="Date"/>
    <tableColumn id="2" name="Salesperson"/>
    <tableColumn id="3" name="Product"/>
    <tableColumn id="4" name="Amount" dataDxfId="4"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3.xml><?xml version="1.0" encoding="utf-8"?>
<table xmlns="http://schemas.openxmlformats.org/spreadsheetml/2006/main" id="5" name="PivotTableData2" displayName="PivotTableData2" ref="C34:F40" totalsRowShown="0">
  <autoFilter ref="C34:F40"/>
  <tableColumns count="4">
    <tableColumn id="1" name="Date" dataDxfId="3" dataCellStyle="Date"/>
    <tableColumn id="2" name="Salesperson"/>
    <tableColumn id="3" name="Product"/>
    <tableColumn id="4" name="Amount" dataDxfId="2"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go.microsoft.com/fwlink/?linkid=844737"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4.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go.microsoft.com/fwlink/?linkid=844726" TargetMode="External"/><Relationship Id="rId7" Type="http://schemas.openxmlformats.org/officeDocument/2006/relationships/table" Target="../tables/table4.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5" Type="http://schemas.openxmlformats.org/officeDocument/2006/relationships/table" Target="../tables/table6.xm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9.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11.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10.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go.microsoft.com/fwlink/?linkid=844749" TargetMode="External"/><Relationship Id="rId7" Type="http://schemas.openxmlformats.org/officeDocument/2006/relationships/table" Target="../tables/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1.xml"/><Relationship Id="rId5" Type="http://schemas.openxmlformats.org/officeDocument/2006/relationships/printerSettings" Target="../printerSettings/printerSettings11.bin"/><Relationship Id="rId4" Type="http://schemas.openxmlformats.org/officeDocument/2006/relationships/hyperlink" Target="https://go.microsoft.com/fwlink/?linkid=84474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A5"/>
  <sheetViews>
    <sheetView showGridLines="0" tabSelected="1" workbookViewId="0"/>
  </sheetViews>
  <sheetFormatPr defaultColWidth="11.140625" defaultRowHeight="20.25" customHeight="1" x14ac:dyDescent="0.25"/>
  <cols>
    <col min="1" max="1" width="129.7109375" customWidth="1"/>
    <col min="2" max="2" width="3.5703125" customWidth="1"/>
  </cols>
  <sheetData>
    <row r="1" spans="1:1" ht="15" customHeight="1" x14ac:dyDescent="0.25">
      <c r="A1" s="17" t="s">
        <v>330</v>
      </c>
    </row>
    <row r="2" spans="1:1" ht="102" x14ac:dyDescent="1.65">
      <c r="A2" s="25" t="s">
        <v>63</v>
      </c>
    </row>
    <row r="3" spans="1:1" ht="45" x14ac:dyDescent="0.35">
      <c r="A3" s="26" t="s">
        <v>103</v>
      </c>
    </row>
    <row r="4" spans="1:1" ht="264" customHeight="1" x14ac:dyDescent="0.25">
      <c r="A4" s="49" t="s">
        <v>348</v>
      </c>
    </row>
    <row r="5" spans="1:1" ht="20.25" customHeight="1" x14ac:dyDescent="0.35">
      <c r="A5" s="26"/>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91"/>
  <sheetViews>
    <sheetView showGridLines="0" zoomScaleNormal="100" zoomScalePageLayoutView="125" workbookViewId="0">
      <selection activeCell="E54" sqref="E54"/>
    </sheetView>
  </sheetViews>
  <sheetFormatPr defaultColWidth="8.85546875" defaultRowHeight="15" customHeight="1" x14ac:dyDescent="0.25"/>
  <cols>
    <col min="1" max="1" width="12.7109375" style="16" customWidth="1"/>
    <col min="2" max="2" width="82.85546875" style="18" customWidth="1"/>
    <col min="3" max="16384" width="8.85546875" style="18"/>
  </cols>
  <sheetData>
    <row r="1" spans="1:7" ht="60" customHeight="1" x14ac:dyDescent="0.5">
      <c r="A1" s="16" t="s">
        <v>104</v>
      </c>
      <c r="B1" s="22"/>
    </row>
    <row r="2" spans="1:7" ht="15" customHeight="1" x14ac:dyDescent="0.25">
      <c r="A2" s="16" t="s">
        <v>105</v>
      </c>
    </row>
    <row r="3" spans="1:7" ht="15" customHeight="1" x14ac:dyDescent="0.25">
      <c r="A3" s="16" t="s">
        <v>106</v>
      </c>
      <c r="B3" s="23"/>
      <c r="C3" s="27" t="s">
        <v>0</v>
      </c>
      <c r="D3" s="27" t="s">
        <v>1</v>
      </c>
      <c r="F3" s="27" t="s">
        <v>6</v>
      </c>
      <c r="G3" s="27" t="s">
        <v>1</v>
      </c>
    </row>
    <row r="4" spans="1:7" ht="15" customHeight="1" x14ac:dyDescent="0.25">
      <c r="A4" s="16" t="s">
        <v>117</v>
      </c>
      <c r="C4" s="6" t="s">
        <v>2</v>
      </c>
      <c r="D4" s="6">
        <v>50</v>
      </c>
      <c r="F4" s="6" t="s">
        <v>7</v>
      </c>
      <c r="G4" s="6">
        <v>50</v>
      </c>
    </row>
    <row r="5" spans="1:7" s="19" customFormat="1" ht="15" customHeight="1" x14ac:dyDescent="0.25">
      <c r="A5" s="16" t="s">
        <v>264</v>
      </c>
      <c r="C5" s="6" t="s">
        <v>3</v>
      </c>
      <c r="D5" s="6">
        <v>20</v>
      </c>
      <c r="F5" s="6" t="s">
        <v>8</v>
      </c>
      <c r="G5" s="6">
        <v>30</v>
      </c>
    </row>
    <row r="6" spans="1:7" s="19" customFormat="1" ht="15" customHeight="1" x14ac:dyDescent="0.25">
      <c r="A6" s="16" t="s">
        <v>138</v>
      </c>
      <c r="B6" s="24"/>
      <c r="C6" s="6" t="s">
        <v>4</v>
      </c>
      <c r="D6" s="6">
        <v>60</v>
      </c>
      <c r="F6" s="6" t="s">
        <v>9</v>
      </c>
      <c r="G6" s="6">
        <v>10</v>
      </c>
    </row>
    <row r="7" spans="1:7" s="19" customFormat="1" ht="15" customHeight="1" x14ac:dyDescent="0.25">
      <c r="A7" s="16" t="s">
        <v>341</v>
      </c>
      <c r="C7" s="6" t="s">
        <v>5</v>
      </c>
      <c r="D7" s="6">
        <v>40</v>
      </c>
      <c r="F7" s="6" t="s">
        <v>10</v>
      </c>
      <c r="G7" s="6">
        <v>50</v>
      </c>
    </row>
    <row r="8" spans="1:7" s="19" customFormat="1" ht="15" customHeight="1" x14ac:dyDescent="0.25">
      <c r="A8" s="16" t="s">
        <v>275</v>
      </c>
      <c r="D8" s="7">
        <f>SUM(D4:D7)</f>
        <v>170</v>
      </c>
      <c r="G8" s="7">
        <f>SUM(G4:G7)</f>
        <v>140</v>
      </c>
    </row>
    <row r="9" spans="1:7" s="19" customFormat="1" ht="15" customHeight="1" x14ac:dyDescent="0.25">
      <c r="A9" s="16" t="s">
        <v>265</v>
      </c>
    </row>
    <row r="10" spans="1:7" s="19" customFormat="1" ht="15" customHeight="1" x14ac:dyDescent="0.25">
      <c r="A10" s="16" t="s">
        <v>276</v>
      </c>
      <c r="C10" s="27" t="s">
        <v>11</v>
      </c>
      <c r="D10" s="27" t="s">
        <v>1</v>
      </c>
      <c r="F10" s="27" t="s">
        <v>11</v>
      </c>
      <c r="G10" s="27" t="s">
        <v>1</v>
      </c>
    </row>
    <row r="11" spans="1:7" s="19" customFormat="1" ht="15" customHeight="1" x14ac:dyDescent="0.25">
      <c r="A11" s="16" t="s">
        <v>366</v>
      </c>
      <c r="C11" s="6" t="s">
        <v>12</v>
      </c>
      <c r="D11" s="6">
        <v>50</v>
      </c>
      <c r="F11" s="6" t="s">
        <v>12</v>
      </c>
      <c r="G11" s="6">
        <v>50</v>
      </c>
    </row>
    <row r="12" spans="1:7" s="19" customFormat="1" ht="15" customHeight="1" x14ac:dyDescent="0.25">
      <c r="A12" s="16" t="s">
        <v>277</v>
      </c>
      <c r="C12" s="6" t="s">
        <v>13</v>
      </c>
      <c r="D12" s="6">
        <v>100</v>
      </c>
      <c r="F12" s="6" t="s">
        <v>13</v>
      </c>
      <c r="G12" s="6">
        <v>100</v>
      </c>
    </row>
    <row r="13" spans="1:7" s="19" customFormat="1" ht="15" customHeight="1" x14ac:dyDescent="0.25">
      <c r="A13" s="16" t="s">
        <v>118</v>
      </c>
      <c r="C13" s="6" t="s">
        <v>14</v>
      </c>
      <c r="D13" s="6">
        <v>40</v>
      </c>
      <c r="F13" s="6" t="s">
        <v>14</v>
      </c>
      <c r="G13" s="6">
        <v>40</v>
      </c>
    </row>
    <row r="14" spans="1:7" s="19" customFormat="1" ht="15" customHeight="1" x14ac:dyDescent="0.25">
      <c r="A14" s="16"/>
      <c r="C14" s="6" t="s">
        <v>15</v>
      </c>
      <c r="D14" s="6">
        <v>50</v>
      </c>
      <c r="F14" s="6" t="s">
        <v>15</v>
      </c>
      <c r="G14" s="6">
        <v>50</v>
      </c>
    </row>
    <row r="15" spans="1:7" s="19" customFormat="1" ht="15" customHeight="1" thickBot="1" x14ac:dyDescent="0.3">
      <c r="A15" s="16"/>
      <c r="C15" s="6" t="s">
        <v>16</v>
      </c>
      <c r="D15" s="6">
        <v>20</v>
      </c>
      <c r="F15" s="6" t="s">
        <v>16</v>
      </c>
      <c r="G15" s="6">
        <v>20</v>
      </c>
    </row>
    <row r="16" spans="1:7" s="19" customFormat="1" ht="15" customHeight="1" thickTop="1" thickBot="1" x14ac:dyDescent="0.3">
      <c r="A16" s="16"/>
      <c r="D16" s="7">
        <f>SUM(D11:D15)</f>
        <v>260</v>
      </c>
      <c r="G16" s="20">
        <f>SUMIF(G11:G15,"&lt;100")</f>
        <v>160</v>
      </c>
    </row>
    <row r="17" spans="1:1" s="19" customFormat="1" ht="15" customHeight="1" thickTop="1" x14ac:dyDescent="0.25">
      <c r="A17" s="16"/>
    </row>
    <row r="18" spans="1:1" s="19" customFormat="1" ht="15" customHeight="1" x14ac:dyDescent="0.25">
      <c r="A18" s="16"/>
    </row>
    <row r="19" spans="1:1" s="19" customFormat="1" ht="15" customHeight="1" x14ac:dyDescent="0.25">
      <c r="A19" s="16"/>
    </row>
    <row r="20" spans="1:1" s="19" customFormat="1" ht="15" customHeight="1" x14ac:dyDescent="0.25">
      <c r="A20" s="16"/>
    </row>
    <row r="21" spans="1:1" s="19" customFormat="1" ht="15" customHeight="1" x14ac:dyDescent="0.25">
      <c r="A21" s="16"/>
    </row>
    <row r="22" spans="1:1" s="19" customFormat="1" ht="15" customHeight="1" x14ac:dyDescent="0.25">
      <c r="A22" s="16"/>
    </row>
    <row r="23" spans="1:1" s="19" customFormat="1" ht="15" customHeight="1" x14ac:dyDescent="0.25">
      <c r="A23" s="16"/>
    </row>
    <row r="24" spans="1:1" s="19" customFormat="1" ht="15" customHeight="1" x14ac:dyDescent="0.25">
      <c r="A24" s="16"/>
    </row>
    <row r="27" spans="1:1" ht="15" customHeight="1" x14ac:dyDescent="0.25">
      <c r="A27" s="16" t="s">
        <v>107</v>
      </c>
    </row>
    <row r="28" spans="1:1" ht="15" customHeight="1" x14ac:dyDescent="0.25">
      <c r="A28" s="16" t="s">
        <v>108</v>
      </c>
    </row>
    <row r="29" spans="1:1" ht="15" customHeight="1" x14ac:dyDescent="0.25">
      <c r="A29" s="16" t="s">
        <v>266</v>
      </c>
    </row>
    <row r="30" spans="1:1" ht="15" customHeight="1" x14ac:dyDescent="0.25">
      <c r="A30" s="16" t="s">
        <v>267</v>
      </c>
    </row>
    <row r="31" spans="1:1" ht="15" customHeight="1" x14ac:dyDescent="0.25">
      <c r="A31" s="16" t="s">
        <v>268</v>
      </c>
    </row>
    <row r="32" spans="1:1" ht="15" customHeight="1" x14ac:dyDescent="0.25">
      <c r="A32" s="16" t="s">
        <v>109</v>
      </c>
    </row>
    <row r="33" spans="1:7" ht="15" customHeight="1" x14ac:dyDescent="0.25">
      <c r="A33" s="16" t="s">
        <v>332</v>
      </c>
    </row>
    <row r="34" spans="1:7" ht="15" customHeight="1" x14ac:dyDescent="0.25">
      <c r="A34" s="16" t="s">
        <v>269</v>
      </c>
    </row>
    <row r="35" spans="1:7" ht="15" customHeight="1" x14ac:dyDescent="0.25">
      <c r="A35" s="16" t="s">
        <v>270</v>
      </c>
    </row>
    <row r="36" spans="1:7" ht="15" customHeight="1" x14ac:dyDescent="0.25">
      <c r="A36" s="16" t="s">
        <v>367</v>
      </c>
    </row>
    <row r="37" spans="1:7" ht="15" customHeight="1" x14ac:dyDescent="0.25">
      <c r="A37" s="16" t="s">
        <v>271</v>
      </c>
      <c r="C37" s="27" t="s">
        <v>0</v>
      </c>
      <c r="D37" s="27" t="s">
        <v>1</v>
      </c>
    </row>
    <row r="38" spans="1:7" ht="15" customHeight="1" x14ac:dyDescent="0.25">
      <c r="A38" s="16" t="s">
        <v>272</v>
      </c>
      <c r="C38" s="6" t="s">
        <v>2</v>
      </c>
      <c r="D38" s="6">
        <v>50</v>
      </c>
      <c r="E38" s="19"/>
    </row>
    <row r="39" spans="1:7" ht="15" customHeight="1" x14ac:dyDescent="0.25">
      <c r="A39" s="16" t="s">
        <v>110</v>
      </c>
      <c r="C39" s="6" t="s">
        <v>3</v>
      </c>
      <c r="D39" s="6">
        <v>20</v>
      </c>
      <c r="E39" s="19"/>
    </row>
    <row r="40" spans="1:7" ht="15" customHeight="1" x14ac:dyDescent="0.25">
      <c r="A40" s="16" t="s">
        <v>273</v>
      </c>
      <c r="C40" s="6" t="s">
        <v>4</v>
      </c>
      <c r="D40" s="6">
        <v>60</v>
      </c>
      <c r="E40" s="19"/>
    </row>
    <row r="41" spans="1:7" ht="15" customHeight="1" x14ac:dyDescent="0.25">
      <c r="A41" s="16" t="s">
        <v>274</v>
      </c>
      <c r="C41" s="6" t="s">
        <v>5</v>
      </c>
      <c r="D41" s="6">
        <v>40</v>
      </c>
      <c r="E41" s="19"/>
    </row>
    <row r="42" spans="1:7" ht="15" customHeight="1" x14ac:dyDescent="0.25">
      <c r="A42" s="16" t="s">
        <v>136</v>
      </c>
      <c r="C42" s="19"/>
      <c r="D42" s="7">
        <f>SUM(D38:D41)</f>
        <v>170</v>
      </c>
      <c r="E42" s="19"/>
      <c r="F42" s="19"/>
      <c r="G42" s="19"/>
    </row>
    <row r="43" spans="1:7" ht="15" customHeight="1" x14ac:dyDescent="0.25">
      <c r="A43" s="16" t="s">
        <v>119</v>
      </c>
    </row>
    <row r="47" spans="1:7" ht="15" customHeight="1" x14ac:dyDescent="0.25">
      <c r="C47" s="27" t="s">
        <v>11</v>
      </c>
      <c r="D47" s="27" t="s">
        <v>1</v>
      </c>
      <c r="E47" s="19"/>
      <c r="F47" s="27" t="s">
        <v>11</v>
      </c>
      <c r="G47" s="27" t="s">
        <v>1</v>
      </c>
    </row>
    <row r="48" spans="1:7" ht="15" customHeight="1" x14ac:dyDescent="0.25">
      <c r="C48" s="6" t="s">
        <v>17</v>
      </c>
      <c r="D48" s="6">
        <v>20</v>
      </c>
      <c r="E48" s="19"/>
      <c r="F48" s="6" t="s">
        <v>18</v>
      </c>
      <c r="G48" s="6">
        <v>20</v>
      </c>
    </row>
    <row r="49" spans="3:7" ht="15" customHeight="1" x14ac:dyDescent="0.25">
      <c r="C49" s="6"/>
      <c r="D49" s="6"/>
      <c r="E49" s="19"/>
      <c r="F49" s="6" t="s">
        <v>19</v>
      </c>
      <c r="G49" s="6">
        <v>10</v>
      </c>
    </row>
    <row r="50" spans="3:7" ht="15" customHeight="1" x14ac:dyDescent="0.25">
      <c r="C50" s="6"/>
      <c r="D50" s="6"/>
      <c r="E50" s="19"/>
      <c r="F50" s="6" t="s">
        <v>20</v>
      </c>
      <c r="G50" s="6">
        <v>10</v>
      </c>
    </row>
    <row r="51" spans="3:7" ht="15" customHeight="1" x14ac:dyDescent="0.25">
      <c r="C51" s="6"/>
      <c r="D51" s="6"/>
      <c r="E51" s="19"/>
      <c r="F51" s="6" t="s">
        <v>21</v>
      </c>
      <c r="G51" s="6">
        <v>40</v>
      </c>
    </row>
    <row r="53" spans="3:7" ht="15" customHeight="1" x14ac:dyDescent="0.25">
      <c r="E53" s="27" t="s">
        <v>22</v>
      </c>
    </row>
    <row r="54" spans="3:7" ht="15" customHeight="1" x14ac:dyDescent="0.25">
      <c r="E54" s="7">
        <f>SUM(D48,G48:G51,100)</f>
        <v>200</v>
      </c>
    </row>
    <row r="66" spans="1:7" ht="15" customHeight="1" x14ac:dyDescent="0.25">
      <c r="A66" s="16" t="s">
        <v>111</v>
      </c>
    </row>
    <row r="67" spans="1:7" ht="15" customHeight="1" x14ac:dyDescent="0.25">
      <c r="A67" s="16" t="s">
        <v>278</v>
      </c>
    </row>
    <row r="68" spans="1:7" ht="15" customHeight="1" x14ac:dyDescent="0.25">
      <c r="A68" s="16" t="s">
        <v>279</v>
      </c>
    </row>
    <row r="69" spans="1:7" ht="15" customHeight="1" x14ac:dyDescent="0.25">
      <c r="A69" s="16" t="s">
        <v>368</v>
      </c>
    </row>
    <row r="70" spans="1:7" ht="15" customHeight="1" x14ac:dyDescent="0.25">
      <c r="A70" s="16" t="s">
        <v>280</v>
      </c>
    </row>
    <row r="71" spans="1:7" ht="15" customHeight="1" x14ac:dyDescent="0.25">
      <c r="A71" s="16" t="s">
        <v>137</v>
      </c>
    </row>
    <row r="72" spans="1:7" ht="15" customHeight="1" x14ac:dyDescent="0.25">
      <c r="A72" s="16" t="s">
        <v>281</v>
      </c>
      <c r="C72" s="27" t="s">
        <v>11</v>
      </c>
      <c r="D72" s="27" t="s">
        <v>1</v>
      </c>
      <c r="F72" s="27" t="s">
        <v>11</v>
      </c>
      <c r="G72" s="27" t="s">
        <v>1</v>
      </c>
    </row>
    <row r="73" spans="1:7" ht="15" customHeight="1" x14ac:dyDescent="0.25">
      <c r="A73" s="48" t="s">
        <v>369</v>
      </c>
      <c r="C73" s="6" t="s">
        <v>12</v>
      </c>
      <c r="D73" s="6">
        <v>50</v>
      </c>
      <c r="F73" s="6" t="s">
        <v>12</v>
      </c>
      <c r="G73" s="6">
        <v>50</v>
      </c>
    </row>
    <row r="74" spans="1:7" ht="15" customHeight="1" x14ac:dyDescent="0.25">
      <c r="A74" s="16" t="s">
        <v>120</v>
      </c>
      <c r="C74" s="6" t="s">
        <v>13</v>
      </c>
      <c r="D74" s="6">
        <v>100</v>
      </c>
      <c r="F74" s="6" t="s">
        <v>13</v>
      </c>
      <c r="G74" s="6">
        <v>100</v>
      </c>
    </row>
    <row r="75" spans="1:7" ht="15" customHeight="1" x14ac:dyDescent="0.25">
      <c r="C75" s="6" t="s">
        <v>14</v>
      </c>
      <c r="D75" s="6">
        <v>40</v>
      </c>
      <c r="F75" s="6" t="s">
        <v>14</v>
      </c>
      <c r="G75" s="6">
        <v>40</v>
      </c>
    </row>
    <row r="76" spans="1:7" ht="15" customHeight="1" x14ac:dyDescent="0.25">
      <c r="C76" s="6" t="s">
        <v>15</v>
      </c>
      <c r="D76" s="6">
        <v>50</v>
      </c>
      <c r="F76" s="6" t="s">
        <v>15</v>
      </c>
      <c r="G76" s="6">
        <v>50</v>
      </c>
    </row>
    <row r="77" spans="1:7" ht="15" customHeight="1" thickBot="1" x14ac:dyDescent="0.3">
      <c r="C77" s="6" t="s">
        <v>16</v>
      </c>
      <c r="D77" s="6">
        <v>20</v>
      </c>
      <c r="F77" s="6" t="s">
        <v>16</v>
      </c>
      <c r="G77" s="6">
        <v>20</v>
      </c>
    </row>
    <row r="78" spans="1:7" ht="15" customHeight="1" thickTop="1" thickBot="1" x14ac:dyDescent="0.3">
      <c r="D78" s="7">
        <f>SUMIF(D73:D77,"&gt;50")</f>
        <v>100</v>
      </c>
      <c r="F78" s="21"/>
      <c r="G78" s="20">
        <f>SUMIF(G73:G77,"&gt;=50")</f>
        <v>200</v>
      </c>
    </row>
    <row r="79" spans="1:7" ht="15" customHeight="1" thickTop="1" x14ac:dyDescent="0.25"/>
    <row r="86" spans="1:1" ht="15" customHeight="1" x14ac:dyDescent="0.25">
      <c r="A86" s="16" t="s">
        <v>113</v>
      </c>
    </row>
    <row r="87" spans="1:1" ht="15" customHeight="1" x14ac:dyDescent="0.25">
      <c r="A87" s="16" t="s">
        <v>114</v>
      </c>
    </row>
    <row r="88" spans="1:1" ht="15" customHeight="1" x14ac:dyDescent="0.25">
      <c r="A88" s="16" t="s">
        <v>115</v>
      </c>
    </row>
    <row r="89" spans="1:1" ht="15" customHeight="1" x14ac:dyDescent="0.25">
      <c r="A89" s="16" t="s">
        <v>116</v>
      </c>
    </row>
    <row r="90" spans="1:1" ht="15" customHeight="1" x14ac:dyDescent="0.25">
      <c r="A90" s="16" t="s">
        <v>362</v>
      </c>
    </row>
    <row r="91" spans="1:1" ht="15" customHeight="1" x14ac:dyDescent="0.25">
      <c r="A91" s="16" t="s">
        <v>112</v>
      </c>
    </row>
  </sheetData>
  <hyperlinks>
    <hyperlink ref="A87" r:id="rId1" tooltip="Select to learn all about the SUM function from the web"/>
    <hyperlink ref="A88" r:id="rId2" tooltip="Select to learn all about the SUMIF function from the web"/>
    <hyperlink ref="A89" r:id="rId3" tooltip="Select to learn how to use Excel as a calculator from the web"/>
    <hyperlink ref="A90" r:id="rId4" tooltip="Select to learn an overview of Free Excel training online from the web"/>
    <hyperlink ref="A71" location="'10. PivotTables'!A1" tooltip="Select to go to PivotTable worksheet" display="NOTE: If you find you are making a lot of SUMIF formulas, you might find that a PivotTable is a better solution. See the PivotTable worksheet for more information."/>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67"/>
  <sheetViews>
    <sheetView showGridLines="0" topLeftCell="A58" zoomScaleNormal="100" zoomScalePageLayoutView="125" workbookViewId="0">
      <selection activeCell="J49" sqref="J49"/>
    </sheetView>
  </sheetViews>
  <sheetFormatPr defaultColWidth="8.85546875" defaultRowHeight="15" customHeight="1" x14ac:dyDescent="0.25"/>
  <cols>
    <col min="1" max="1" width="12.7109375" style="16" customWidth="1"/>
    <col min="2" max="2" width="82.85546875" customWidth="1"/>
    <col min="3" max="16384" width="8.85546875" style="18"/>
  </cols>
  <sheetData>
    <row r="1" spans="1:9" ht="60" customHeight="1" x14ac:dyDescent="0.25">
      <c r="A1" s="16" t="s">
        <v>122</v>
      </c>
    </row>
    <row r="2" spans="1:9" ht="15" customHeight="1" x14ac:dyDescent="0.25">
      <c r="A2" s="16" t="s">
        <v>139</v>
      </c>
    </row>
    <row r="3" spans="1:9" ht="15" customHeight="1" x14ac:dyDescent="0.25">
      <c r="A3" s="16" t="s">
        <v>282</v>
      </c>
      <c r="C3" s="27" t="s">
        <v>23</v>
      </c>
      <c r="D3" s="27" t="s">
        <v>24</v>
      </c>
      <c r="E3" s="27" t="s">
        <v>25</v>
      </c>
      <c r="F3" s="27" t="s">
        <v>24</v>
      </c>
      <c r="G3" s="27" t="s">
        <v>25</v>
      </c>
    </row>
    <row r="4" spans="1:9" ht="15" customHeight="1" x14ac:dyDescent="0.25">
      <c r="A4" s="16" t="s">
        <v>123</v>
      </c>
      <c r="C4" s="6">
        <v>50</v>
      </c>
      <c r="D4" s="6">
        <v>50</v>
      </c>
      <c r="E4" s="7">
        <f>SUM(C4:D4)</f>
        <v>100</v>
      </c>
      <c r="F4" s="6">
        <v>75</v>
      </c>
      <c r="G4" s="6">
        <f>SUM(E4:F4)</f>
        <v>175</v>
      </c>
    </row>
    <row r="5" spans="1:9" s="19" customFormat="1" ht="15" customHeight="1" x14ac:dyDescent="0.25">
      <c r="A5" s="16" t="s">
        <v>283</v>
      </c>
      <c r="B5"/>
      <c r="C5" s="6">
        <v>50</v>
      </c>
      <c r="D5" s="6">
        <v>60</v>
      </c>
      <c r="E5" s="7">
        <f t="shared" ref="E5:E7" si="0">SUM(C5:D5)</f>
        <v>110</v>
      </c>
      <c r="F5" s="6">
        <v>75</v>
      </c>
      <c r="G5" s="6">
        <f t="shared" ref="G5:G7" si="1">SUM(E5:F5)</f>
        <v>185</v>
      </c>
      <c r="H5" s="18"/>
      <c r="I5" s="18"/>
    </row>
    <row r="6" spans="1:9" s="19" customFormat="1" ht="15" customHeight="1" x14ac:dyDescent="0.25">
      <c r="A6" s="16" t="s">
        <v>284</v>
      </c>
      <c r="B6"/>
      <c r="C6" s="6">
        <v>50</v>
      </c>
      <c r="D6" s="6">
        <v>70</v>
      </c>
      <c r="E6" s="7">
        <f t="shared" si="0"/>
        <v>120</v>
      </c>
      <c r="F6" s="6">
        <v>75</v>
      </c>
      <c r="G6" s="6">
        <f t="shared" si="1"/>
        <v>195</v>
      </c>
      <c r="H6" s="18"/>
      <c r="I6" s="18"/>
    </row>
    <row r="7" spans="1:9" s="19" customFormat="1" ht="15" customHeight="1" x14ac:dyDescent="0.25">
      <c r="A7" s="16" t="s">
        <v>285</v>
      </c>
      <c r="B7"/>
      <c r="C7" s="6">
        <v>50</v>
      </c>
      <c r="D7" s="6">
        <v>80</v>
      </c>
      <c r="E7" s="7">
        <f t="shared" si="0"/>
        <v>130</v>
      </c>
      <c r="F7" s="6">
        <v>75</v>
      </c>
      <c r="G7" s="6">
        <f t="shared" si="1"/>
        <v>205</v>
      </c>
      <c r="H7" s="18"/>
      <c r="I7" s="18"/>
    </row>
    <row r="8" spans="1:9" s="19" customFormat="1" ht="15" customHeight="1" x14ac:dyDescent="0.25">
      <c r="A8" s="16" t="s">
        <v>124</v>
      </c>
      <c r="B8"/>
      <c r="C8" s="18"/>
      <c r="D8" s="18"/>
      <c r="E8" s="18"/>
      <c r="F8" s="18"/>
      <c r="G8" s="18"/>
      <c r="H8" s="18"/>
      <c r="I8" s="18"/>
    </row>
    <row r="9" spans="1:9" s="19" customFormat="1" ht="15" customHeight="1" x14ac:dyDescent="0.25">
      <c r="A9" s="16" t="s">
        <v>125</v>
      </c>
      <c r="B9"/>
      <c r="C9" s="18"/>
      <c r="D9" s="18"/>
      <c r="E9" s="18"/>
      <c r="F9" s="18"/>
      <c r="G9" s="18"/>
      <c r="H9" s="18"/>
      <c r="I9" s="18"/>
    </row>
    <row r="10" spans="1:9" s="19" customFormat="1" ht="15" customHeight="1" x14ac:dyDescent="0.25">
      <c r="A10" s="16"/>
      <c r="B10"/>
      <c r="C10" s="27" t="s">
        <v>23</v>
      </c>
      <c r="D10" s="27" t="s">
        <v>24</v>
      </c>
      <c r="E10" s="27" t="s">
        <v>25</v>
      </c>
      <c r="F10" s="27" t="s">
        <v>24</v>
      </c>
      <c r="G10" s="27" t="s">
        <v>25</v>
      </c>
      <c r="H10" s="18"/>
      <c r="I10" s="18"/>
    </row>
    <row r="11" spans="1:9" s="19" customFormat="1" ht="15" customHeight="1" x14ac:dyDescent="0.25">
      <c r="A11" s="16"/>
      <c r="B11"/>
      <c r="C11" s="6">
        <v>50</v>
      </c>
      <c r="D11" s="6">
        <v>50</v>
      </c>
      <c r="E11" s="6">
        <f>SUM(C11:D11)</f>
        <v>100</v>
      </c>
      <c r="F11" s="6">
        <v>75</v>
      </c>
      <c r="G11" s="6">
        <f>SUM(E11:F11)</f>
        <v>175</v>
      </c>
      <c r="H11" s="18"/>
      <c r="I11" s="18"/>
    </row>
    <row r="12" spans="1:9" s="19" customFormat="1" ht="15" customHeight="1" x14ac:dyDescent="0.25">
      <c r="A12" s="16"/>
      <c r="B12"/>
      <c r="C12" s="6">
        <v>50</v>
      </c>
      <c r="D12" s="6">
        <v>60</v>
      </c>
      <c r="E12" s="6">
        <f t="shared" ref="E12:E14" si="2">SUM(C12:D12)</f>
        <v>110</v>
      </c>
      <c r="F12" s="6">
        <v>75</v>
      </c>
      <c r="G12" s="6">
        <f t="shared" ref="G12:G14" si="3">SUM(E12:F12)</f>
        <v>185</v>
      </c>
      <c r="H12" s="18"/>
      <c r="I12" s="18"/>
    </row>
    <row r="13" spans="1:9" s="19" customFormat="1" ht="15" customHeight="1" x14ac:dyDescent="0.25">
      <c r="A13" s="16"/>
      <c r="B13"/>
      <c r="C13" s="6">
        <v>50</v>
      </c>
      <c r="D13" s="6">
        <v>70</v>
      </c>
      <c r="E13" s="6">
        <f t="shared" si="2"/>
        <v>120</v>
      </c>
      <c r="F13" s="6">
        <v>75</v>
      </c>
      <c r="G13" s="6">
        <f t="shared" si="3"/>
        <v>195</v>
      </c>
      <c r="H13" s="18"/>
      <c r="I13" s="18"/>
    </row>
    <row r="14" spans="1:9" s="19" customFormat="1" ht="15" customHeight="1" x14ac:dyDescent="0.25">
      <c r="A14" s="16"/>
      <c r="B14"/>
      <c r="C14" s="42">
        <v>50</v>
      </c>
      <c r="D14" s="42">
        <v>80</v>
      </c>
      <c r="E14" s="42">
        <f t="shared" si="2"/>
        <v>130</v>
      </c>
      <c r="F14" s="42">
        <v>75</v>
      </c>
      <c r="G14" s="42">
        <f t="shared" si="3"/>
        <v>205</v>
      </c>
      <c r="H14" s="18"/>
      <c r="I14" s="18"/>
    </row>
    <row r="15" spans="1:9" s="19" customFormat="1" ht="15" customHeight="1" x14ac:dyDescent="0.25">
      <c r="A15" s="16"/>
      <c r="B15"/>
      <c r="C15" s="7">
        <f>SUM(C11:C14)</f>
        <v>200</v>
      </c>
      <c r="D15" s="6"/>
      <c r="E15" s="6"/>
      <c r="F15" s="6"/>
      <c r="G15" s="6"/>
      <c r="H15" s="18"/>
      <c r="I15" s="18"/>
    </row>
    <row r="16" spans="1:9" s="19" customFormat="1" ht="15" customHeight="1" x14ac:dyDescent="0.25">
      <c r="A16" s="16"/>
      <c r="B16"/>
      <c r="H16" s="18"/>
      <c r="I16" s="18"/>
    </row>
    <row r="17" spans="1:9" s="19" customFormat="1" ht="15" customHeight="1" x14ac:dyDescent="0.25">
      <c r="A17" s="16"/>
      <c r="B17"/>
      <c r="H17" s="18"/>
      <c r="I17" s="18"/>
    </row>
    <row r="18" spans="1:9" s="19" customFormat="1" ht="15" customHeight="1" x14ac:dyDescent="0.25">
      <c r="A18" s="16"/>
      <c r="B18"/>
      <c r="C18" s="18"/>
      <c r="D18" s="18"/>
      <c r="E18" s="18"/>
      <c r="F18" s="18"/>
      <c r="G18" s="18"/>
      <c r="H18" s="18"/>
      <c r="I18" s="18"/>
    </row>
    <row r="19" spans="1:9" s="19" customFormat="1" ht="15" customHeight="1" x14ac:dyDescent="0.25">
      <c r="A19" s="16"/>
      <c r="B19"/>
      <c r="C19" s="18"/>
      <c r="D19" s="18"/>
      <c r="E19" s="18"/>
      <c r="F19" s="18"/>
      <c r="G19" s="18"/>
      <c r="H19" s="18"/>
      <c r="I19" s="18"/>
    </row>
    <row r="20" spans="1:9" s="19" customFormat="1" ht="15" customHeight="1" x14ac:dyDescent="0.25">
      <c r="A20" s="16"/>
      <c r="B20"/>
      <c r="C20" s="18"/>
      <c r="D20" s="18"/>
      <c r="E20" s="18"/>
      <c r="F20" s="18"/>
      <c r="G20" s="18"/>
      <c r="H20" s="18"/>
      <c r="I20" s="18"/>
    </row>
    <row r="21" spans="1:9" s="19" customFormat="1" ht="15" customHeight="1" x14ac:dyDescent="0.25">
      <c r="A21" s="16"/>
      <c r="B21"/>
      <c r="C21" s="18"/>
      <c r="D21" s="18"/>
      <c r="E21" s="18"/>
      <c r="F21" s="18"/>
      <c r="G21" s="18"/>
      <c r="H21" s="18"/>
      <c r="I21" s="18"/>
    </row>
    <row r="22" spans="1:9" s="19" customFormat="1" ht="15" customHeight="1" x14ac:dyDescent="0.25">
      <c r="A22" s="16"/>
      <c r="B22"/>
    </row>
    <row r="23" spans="1:9" s="19" customFormat="1" ht="15" customHeight="1" x14ac:dyDescent="0.25">
      <c r="A23" s="16"/>
      <c r="B23"/>
    </row>
    <row r="24" spans="1:9" s="19" customFormat="1" ht="15" customHeight="1" x14ac:dyDescent="0.25">
      <c r="A24" s="16"/>
      <c r="B24"/>
    </row>
    <row r="27" spans="1:9" ht="15" customHeight="1" x14ac:dyDescent="0.25">
      <c r="A27" s="16" t="s">
        <v>126</v>
      </c>
    </row>
    <row r="28" spans="1:9" ht="15" customHeight="1" x14ac:dyDescent="0.25">
      <c r="A28" s="16" t="s">
        <v>127</v>
      </c>
    </row>
    <row r="29" spans="1:9" ht="15" customHeight="1" x14ac:dyDescent="0.25">
      <c r="A29" s="16" t="s">
        <v>286</v>
      </c>
    </row>
    <row r="30" spans="1:9" ht="15" customHeight="1" x14ac:dyDescent="0.25">
      <c r="A30" s="16" t="s">
        <v>287</v>
      </c>
    </row>
    <row r="31" spans="1:9" ht="15" customHeight="1" x14ac:dyDescent="0.25">
      <c r="A31" s="16" t="s">
        <v>140</v>
      </c>
    </row>
    <row r="33" spans="3:8" ht="15" customHeight="1" x14ac:dyDescent="0.25">
      <c r="C33" s="27" t="s">
        <v>34</v>
      </c>
      <c r="D33" s="27" t="s">
        <v>26</v>
      </c>
      <c r="E33" s="27" t="s">
        <v>27</v>
      </c>
      <c r="F33" s="27" t="s">
        <v>33</v>
      </c>
    </row>
    <row r="34" spans="3:8" ht="15" customHeight="1" x14ac:dyDescent="0.25">
      <c r="C34" s="43" t="s">
        <v>28</v>
      </c>
      <c r="D34" s="43" t="s">
        <v>0</v>
      </c>
      <c r="E34" s="6" t="s">
        <v>29</v>
      </c>
      <c r="F34" s="6">
        <v>100</v>
      </c>
    </row>
    <row r="35" spans="3:8" ht="15" customHeight="1" x14ac:dyDescent="0.25">
      <c r="C35" s="43" t="s">
        <v>28</v>
      </c>
      <c r="D35" s="43" t="s">
        <v>0</v>
      </c>
      <c r="E35" s="6" t="s">
        <v>30</v>
      </c>
      <c r="F35" s="6">
        <v>200</v>
      </c>
    </row>
    <row r="36" spans="3:8" ht="15" customHeight="1" x14ac:dyDescent="0.25">
      <c r="C36" s="43" t="s">
        <v>28</v>
      </c>
      <c r="D36" s="43" t="s">
        <v>0</v>
      </c>
      <c r="E36" s="6" t="s">
        <v>31</v>
      </c>
      <c r="F36" s="6">
        <v>50</v>
      </c>
    </row>
    <row r="37" spans="3:8" ht="15" customHeight="1" x14ac:dyDescent="0.25">
      <c r="C37" s="43" t="s">
        <v>28</v>
      </c>
      <c r="D37" s="43" t="s">
        <v>0</v>
      </c>
      <c r="E37" s="6" t="s">
        <v>32</v>
      </c>
      <c r="F37" s="6">
        <v>100</v>
      </c>
    </row>
    <row r="46" spans="3:8" ht="15" customHeight="1" thickBot="1" x14ac:dyDescent="0.3">
      <c r="C46" s="27"/>
      <c r="D46" s="27" t="s">
        <v>35</v>
      </c>
      <c r="E46" s="27" t="s">
        <v>395</v>
      </c>
      <c r="F46" s="27" t="s">
        <v>396</v>
      </c>
    </row>
    <row r="47" spans="3:8" ht="15" customHeight="1" thickTop="1" thickBot="1" x14ac:dyDescent="0.3">
      <c r="C47" s="43" t="s">
        <v>36</v>
      </c>
      <c r="D47" s="6">
        <v>35</v>
      </c>
      <c r="E47" s="6">
        <v>44</v>
      </c>
      <c r="F47" s="6">
        <v>79</v>
      </c>
      <c r="H47" s="52" t="s">
        <v>61</v>
      </c>
    </row>
    <row r="48" spans="3:8" ht="15" customHeight="1" thickTop="1" x14ac:dyDescent="0.25">
      <c r="C48" s="43" t="s">
        <v>397</v>
      </c>
      <c r="D48" s="6">
        <v>74</v>
      </c>
      <c r="E48" s="6">
        <v>64</v>
      </c>
      <c r="F48" s="6">
        <v>56</v>
      </c>
      <c r="H48" s="6"/>
    </row>
    <row r="49" spans="1:8" ht="15" customHeight="1" x14ac:dyDescent="0.25">
      <c r="C49" s="43" t="s">
        <v>398</v>
      </c>
      <c r="D49" s="6">
        <v>82</v>
      </c>
      <c r="E49" s="6">
        <v>50</v>
      </c>
      <c r="F49" s="6">
        <v>83</v>
      </c>
      <c r="H49" s="6"/>
    </row>
    <row r="50" spans="1:8" ht="15" customHeight="1" x14ac:dyDescent="0.25">
      <c r="C50" s="43" t="s">
        <v>399</v>
      </c>
      <c r="D50" s="6">
        <v>90</v>
      </c>
      <c r="E50" s="6">
        <v>22</v>
      </c>
      <c r="F50" s="6">
        <v>89</v>
      </c>
      <c r="H50" s="6"/>
    </row>
    <row r="60" spans="1:8" ht="15" customHeight="1" x14ac:dyDescent="0.25">
      <c r="C60" s="27" t="s">
        <v>37</v>
      </c>
      <c r="D60" s="27"/>
      <c r="E60" s="27"/>
      <c r="F60" s="27"/>
      <c r="G60" s="27"/>
      <c r="H60" s="27"/>
    </row>
    <row r="61" spans="1:8" ht="15" customHeight="1" x14ac:dyDescent="0.25">
      <c r="C61" s="43">
        <v>15</v>
      </c>
      <c r="D61" s="43">
        <v>30</v>
      </c>
      <c r="E61" s="43">
        <v>45</v>
      </c>
      <c r="F61" s="43">
        <v>60</v>
      </c>
      <c r="G61" s="43">
        <v>75</v>
      </c>
      <c r="H61" s="43">
        <v>90</v>
      </c>
    </row>
    <row r="64" spans="1:8" ht="15" customHeight="1" x14ac:dyDescent="0.25">
      <c r="A64" s="16" t="s">
        <v>113</v>
      </c>
    </row>
    <row r="65" spans="1:1" ht="15" customHeight="1" x14ac:dyDescent="0.25">
      <c r="A65" s="16" t="s">
        <v>141</v>
      </c>
    </row>
    <row r="66" spans="1:1" ht="15" customHeight="1" x14ac:dyDescent="0.25">
      <c r="A66" s="16" t="s">
        <v>142</v>
      </c>
    </row>
    <row r="67" spans="1:1" ht="15" customHeight="1" x14ac:dyDescent="0.25">
      <c r="A67" s="16" t="s">
        <v>112</v>
      </c>
    </row>
  </sheetData>
  <hyperlinks>
    <hyperlink ref="A65" r:id="rId1" tooltip="Select to learn about filling data automatically in worksheet cells from the web"/>
    <hyperlink ref="A66" r:id="rId2" tooltip="Select to learn about filling a formula down into adjacent cells from the web"/>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86"/>
  <sheetViews>
    <sheetView showGridLines="0" topLeftCell="A83" zoomScaleNormal="100" zoomScalePageLayoutView="125" workbookViewId="0">
      <selection activeCell="C72" sqref="C72"/>
    </sheetView>
  </sheetViews>
  <sheetFormatPr defaultColWidth="8.85546875" defaultRowHeight="15" customHeight="1" x14ac:dyDescent="0.25"/>
  <cols>
    <col min="1" max="1" width="12.7109375" style="16" customWidth="1"/>
    <col min="2" max="2" width="82.85546875" customWidth="1"/>
    <col min="3" max="3" width="33.85546875" customWidth="1"/>
    <col min="4" max="4" width="10.28515625" customWidth="1"/>
    <col min="5" max="5" width="9.85546875" customWidth="1"/>
    <col min="6" max="7" width="15.5703125" customWidth="1"/>
    <col min="8" max="8" width="9.85546875" customWidth="1"/>
  </cols>
  <sheetData>
    <row r="1" spans="1:8" ht="60" customHeight="1" x14ac:dyDescent="0.25">
      <c r="A1" s="16" t="s">
        <v>128</v>
      </c>
    </row>
    <row r="2" spans="1:8" ht="15" customHeight="1" x14ac:dyDescent="0.25">
      <c r="A2" s="16" t="s">
        <v>342</v>
      </c>
    </row>
    <row r="3" spans="1:8" ht="15" customHeight="1" x14ac:dyDescent="0.25">
      <c r="A3" s="16" t="s">
        <v>343</v>
      </c>
    </row>
    <row r="4" spans="1:8" ht="15" customHeight="1" x14ac:dyDescent="0.25">
      <c r="A4" s="16" t="s">
        <v>143</v>
      </c>
      <c r="C4" s="27" t="s">
        <v>38</v>
      </c>
      <c r="D4" s="27" t="s">
        <v>39</v>
      </c>
      <c r="E4" s="27" t="s">
        <v>40</v>
      </c>
    </row>
    <row r="5" spans="1:8" s="3" customFormat="1" ht="15" customHeight="1" x14ac:dyDescent="0.25">
      <c r="A5" s="16" t="s">
        <v>144</v>
      </c>
      <c r="B5"/>
      <c r="C5" s="31" t="s">
        <v>88</v>
      </c>
      <c r="D5" s="10" t="s">
        <v>383</v>
      </c>
      <c r="E5" s="32" t="s">
        <v>41</v>
      </c>
      <c r="F5"/>
      <c r="G5"/>
      <c r="H5"/>
    </row>
    <row r="6" spans="1:8" s="3" customFormat="1" ht="15" customHeight="1" x14ac:dyDescent="0.25">
      <c r="A6" s="16" t="s">
        <v>288</v>
      </c>
      <c r="B6"/>
      <c r="C6" s="31" t="s">
        <v>95</v>
      </c>
      <c r="D6" s="51" t="s">
        <v>385</v>
      </c>
      <c r="E6" s="32" t="s">
        <v>379</v>
      </c>
      <c r="F6"/>
      <c r="G6"/>
      <c r="H6"/>
    </row>
    <row r="7" spans="1:8" s="3" customFormat="1" ht="15" customHeight="1" x14ac:dyDescent="0.25">
      <c r="A7" s="16" t="s">
        <v>125</v>
      </c>
      <c r="B7"/>
      <c r="C7" s="31" t="s">
        <v>90</v>
      </c>
      <c r="D7" s="51" t="s">
        <v>35</v>
      </c>
      <c r="E7" s="32" t="s">
        <v>380</v>
      </c>
      <c r="F7"/>
      <c r="G7"/>
      <c r="H7"/>
    </row>
    <row r="8" spans="1:8" s="3" customFormat="1" ht="15" customHeight="1" x14ac:dyDescent="0.25">
      <c r="A8" s="16"/>
      <c r="B8"/>
      <c r="C8" s="31" t="s">
        <v>89</v>
      </c>
      <c r="D8" s="51" t="s">
        <v>66</v>
      </c>
      <c r="E8" s="32" t="s">
        <v>381</v>
      </c>
      <c r="F8"/>
      <c r="G8"/>
      <c r="H8"/>
    </row>
    <row r="9" spans="1:8" s="3" customFormat="1" ht="15" customHeight="1" x14ac:dyDescent="0.25">
      <c r="A9" s="16"/>
      <c r="B9"/>
      <c r="C9" s="33" t="s">
        <v>100</v>
      </c>
      <c r="D9" s="45" t="s">
        <v>394</v>
      </c>
      <c r="E9" s="46" t="s">
        <v>382</v>
      </c>
      <c r="F9"/>
      <c r="G9"/>
      <c r="H9"/>
    </row>
    <row r="10" spans="1:8" s="3" customFormat="1" ht="15" customHeight="1" x14ac:dyDescent="0.25">
      <c r="A10" s="16"/>
      <c r="B10"/>
      <c r="C10"/>
      <c r="D10"/>
      <c r="E10"/>
      <c r="F10"/>
      <c r="G10"/>
      <c r="H10"/>
    </row>
    <row r="11" spans="1:8" s="3" customFormat="1" ht="15" customHeight="1" x14ac:dyDescent="0.25">
      <c r="A11" s="16"/>
      <c r="B11"/>
      <c r="C11"/>
      <c r="D11"/>
      <c r="E11"/>
      <c r="F11"/>
      <c r="G11"/>
      <c r="H11"/>
    </row>
    <row r="12" spans="1:8" s="3" customFormat="1" ht="15" customHeight="1" x14ac:dyDescent="0.25">
      <c r="A12" s="16"/>
      <c r="B12"/>
      <c r="C12"/>
      <c r="D12"/>
      <c r="E12"/>
      <c r="F12"/>
      <c r="G12"/>
      <c r="H12"/>
    </row>
    <row r="13" spans="1:8" s="3" customFormat="1" ht="15" customHeight="1" x14ac:dyDescent="0.25">
      <c r="A13" s="16"/>
      <c r="B13"/>
      <c r="C13"/>
      <c r="D13"/>
      <c r="E13"/>
      <c r="F13"/>
      <c r="G13"/>
      <c r="H13"/>
    </row>
    <row r="14" spans="1:8" s="3" customFormat="1" ht="15" customHeight="1" x14ac:dyDescent="0.25">
      <c r="A14" s="16"/>
      <c r="B14"/>
      <c r="C14"/>
      <c r="D14"/>
      <c r="E14"/>
      <c r="F14"/>
      <c r="G14"/>
      <c r="H14"/>
    </row>
    <row r="15" spans="1:8" s="3" customFormat="1" ht="15" customHeight="1" x14ac:dyDescent="0.25">
      <c r="A15" s="16"/>
      <c r="B15"/>
      <c r="C15"/>
      <c r="D15"/>
      <c r="E15"/>
      <c r="F15"/>
      <c r="G15"/>
      <c r="H15"/>
    </row>
    <row r="16" spans="1:8" s="3" customFormat="1" ht="15" customHeight="1" x14ac:dyDescent="0.25">
      <c r="A16" s="16"/>
      <c r="B16"/>
      <c r="C16"/>
      <c r="D16"/>
      <c r="E16"/>
      <c r="F16"/>
      <c r="G16"/>
      <c r="H16"/>
    </row>
    <row r="17" spans="1:8" s="3" customFormat="1" ht="15" customHeight="1" x14ac:dyDescent="0.25">
      <c r="A17" s="16"/>
      <c r="B17"/>
      <c r="C17"/>
      <c r="D17"/>
      <c r="E17"/>
      <c r="F17"/>
      <c r="G17"/>
      <c r="H17"/>
    </row>
    <row r="18" spans="1:8" s="3" customFormat="1" ht="15" customHeight="1" x14ac:dyDescent="0.25">
      <c r="A18" s="16"/>
      <c r="B18"/>
      <c r="C18"/>
      <c r="D18"/>
      <c r="E18"/>
      <c r="F18"/>
      <c r="G18"/>
      <c r="H18"/>
    </row>
    <row r="19" spans="1:8" s="3" customFormat="1" ht="15" customHeight="1" x14ac:dyDescent="0.25">
      <c r="A19" s="16"/>
      <c r="B19"/>
      <c r="C19"/>
      <c r="D19"/>
      <c r="E19"/>
      <c r="F19"/>
      <c r="G19"/>
      <c r="H19"/>
    </row>
    <row r="20" spans="1:8" s="3" customFormat="1" ht="15" customHeight="1" x14ac:dyDescent="0.25">
      <c r="A20" s="16"/>
      <c r="B20"/>
      <c r="C20"/>
      <c r="D20"/>
      <c r="E20"/>
      <c r="F20"/>
      <c r="G20"/>
      <c r="H20"/>
    </row>
    <row r="21" spans="1:8" s="3" customFormat="1" ht="15" customHeight="1" x14ac:dyDescent="0.25">
      <c r="A21" s="16"/>
      <c r="B21"/>
      <c r="C21"/>
      <c r="D21"/>
      <c r="E21"/>
      <c r="F21"/>
      <c r="G21"/>
      <c r="H21"/>
    </row>
    <row r="22" spans="1:8" s="3" customFormat="1" ht="15" customHeight="1" x14ac:dyDescent="0.25">
      <c r="A22" s="16"/>
      <c r="B22"/>
    </row>
    <row r="23" spans="1:8" s="3" customFormat="1" ht="15" customHeight="1" x14ac:dyDescent="0.25">
      <c r="A23" s="16"/>
      <c r="B23"/>
    </row>
    <row r="24" spans="1:8" s="3" customFormat="1" ht="15" customHeight="1" x14ac:dyDescent="0.25">
      <c r="A24" s="16"/>
      <c r="B24"/>
    </row>
    <row r="27" spans="1:8" ht="15" customHeight="1" x14ac:dyDescent="0.25">
      <c r="A27" s="16" t="s">
        <v>145</v>
      </c>
    </row>
    <row r="28" spans="1:8" ht="15" customHeight="1" x14ac:dyDescent="0.25">
      <c r="A28" s="16" t="s">
        <v>146</v>
      </c>
    </row>
    <row r="29" spans="1:8" ht="15" customHeight="1" x14ac:dyDescent="0.25">
      <c r="A29" s="16" t="s">
        <v>289</v>
      </c>
    </row>
    <row r="30" spans="1:8" ht="15" customHeight="1" x14ac:dyDescent="0.25">
      <c r="A30" s="16" t="s">
        <v>290</v>
      </c>
    </row>
    <row r="31" spans="1:8" ht="15" customHeight="1" x14ac:dyDescent="0.25">
      <c r="A31" s="16" t="s">
        <v>291</v>
      </c>
      <c r="C31" s="27" t="s">
        <v>42</v>
      </c>
      <c r="D31" s="27" t="s">
        <v>39</v>
      </c>
      <c r="E31" s="27" t="s">
        <v>40</v>
      </c>
      <c r="F31" s="47" t="s">
        <v>99</v>
      </c>
    </row>
    <row r="32" spans="1:8" ht="15" customHeight="1" x14ac:dyDescent="0.25">
      <c r="A32" s="16" t="s">
        <v>292</v>
      </c>
      <c r="C32" s="8" t="s">
        <v>91</v>
      </c>
      <c r="D32" t="s">
        <v>383</v>
      </c>
      <c r="E32" t="s">
        <v>41</v>
      </c>
      <c r="F32" t="s">
        <v>384</v>
      </c>
    </row>
    <row r="33" spans="1:6" ht="15" customHeight="1" x14ac:dyDescent="0.25">
      <c r="A33" s="16" t="s">
        <v>293</v>
      </c>
      <c r="C33" s="8" t="s">
        <v>92</v>
      </c>
      <c r="D33" t="s">
        <v>385</v>
      </c>
      <c r="E33" t="s">
        <v>379</v>
      </c>
      <c r="F33" t="s">
        <v>386</v>
      </c>
    </row>
    <row r="34" spans="1:6" ht="15" customHeight="1" x14ac:dyDescent="0.25">
      <c r="A34" s="16" t="s">
        <v>294</v>
      </c>
      <c r="C34" s="8" t="s">
        <v>93</v>
      </c>
      <c r="D34" t="s">
        <v>35</v>
      </c>
      <c r="E34" t="s">
        <v>380</v>
      </c>
      <c r="F34" t="s">
        <v>387</v>
      </c>
    </row>
    <row r="35" spans="1:6" ht="15" customHeight="1" x14ac:dyDescent="0.25">
      <c r="A35" s="16" t="s">
        <v>147</v>
      </c>
      <c r="C35" s="8" t="s">
        <v>94</v>
      </c>
      <c r="D35" t="s">
        <v>66</v>
      </c>
      <c r="E35" t="s">
        <v>381</v>
      </c>
      <c r="F35" t="s">
        <v>384</v>
      </c>
    </row>
    <row r="36" spans="1:6" ht="15" customHeight="1" x14ac:dyDescent="0.25">
      <c r="C36" s="8" t="s">
        <v>96</v>
      </c>
      <c r="D36" t="s">
        <v>388</v>
      </c>
      <c r="E36" t="s">
        <v>389</v>
      </c>
      <c r="F36" t="s">
        <v>387</v>
      </c>
    </row>
    <row r="37" spans="1:6" ht="15" customHeight="1" x14ac:dyDescent="0.25">
      <c r="C37" s="8" t="s">
        <v>97</v>
      </c>
      <c r="D37" t="s">
        <v>390</v>
      </c>
      <c r="E37" t="s">
        <v>391</v>
      </c>
      <c r="F37" t="s">
        <v>386</v>
      </c>
    </row>
    <row r="38" spans="1:6" ht="15" customHeight="1" x14ac:dyDescent="0.25">
      <c r="C38" s="8" t="s">
        <v>98</v>
      </c>
      <c r="D38" t="s">
        <v>392</v>
      </c>
      <c r="E38" t="s">
        <v>393</v>
      </c>
      <c r="F38" t="s">
        <v>387</v>
      </c>
    </row>
    <row r="39" spans="1:6" ht="15" customHeight="1" x14ac:dyDescent="0.25">
      <c r="C39" s="29" t="s">
        <v>102</v>
      </c>
      <c r="D39" s="30" t="s">
        <v>394</v>
      </c>
      <c r="E39" s="30" t="s">
        <v>382</v>
      </c>
      <c r="F39" s="30" t="s">
        <v>384</v>
      </c>
    </row>
    <row r="40" spans="1:6" ht="15" customHeight="1" x14ac:dyDescent="0.25">
      <c r="C40" s="11"/>
      <c r="D40" s="11"/>
      <c r="E40" s="11"/>
      <c r="F40" s="11"/>
    </row>
    <row r="49" spans="1:8" ht="15" customHeight="1" x14ac:dyDescent="0.25">
      <c r="A49" s="16" t="s">
        <v>148</v>
      </c>
    </row>
    <row r="50" spans="1:8" ht="15" customHeight="1" x14ac:dyDescent="0.25">
      <c r="A50" s="16" t="s">
        <v>149</v>
      </c>
    </row>
    <row r="51" spans="1:8" ht="15" customHeight="1" x14ac:dyDescent="0.25">
      <c r="A51" s="16" t="s">
        <v>370</v>
      </c>
    </row>
    <row r="52" spans="1:8" ht="15" customHeight="1" x14ac:dyDescent="0.25">
      <c r="A52" s="16" t="s">
        <v>155</v>
      </c>
    </row>
    <row r="53" spans="1:8" ht="15" customHeight="1" x14ac:dyDescent="0.25">
      <c r="A53" s="16" t="s">
        <v>150</v>
      </c>
    </row>
    <row r="54" spans="1:8" ht="15" customHeight="1" x14ac:dyDescent="0.25">
      <c r="A54" s="16" t="s">
        <v>151</v>
      </c>
    </row>
    <row r="55" spans="1:8" ht="15" customHeight="1" x14ac:dyDescent="0.25">
      <c r="A55" s="16" t="s">
        <v>152</v>
      </c>
      <c r="C55" s="27" t="s">
        <v>62</v>
      </c>
      <c r="E55" s="27" t="s">
        <v>39</v>
      </c>
      <c r="F55" s="47" t="s">
        <v>43</v>
      </c>
      <c r="G55" s="27" t="s">
        <v>101</v>
      </c>
      <c r="H55" s="27" t="s">
        <v>40</v>
      </c>
    </row>
    <row r="56" spans="1:8" ht="15" customHeight="1" x14ac:dyDescent="0.25">
      <c r="A56" s="16" t="s">
        <v>153</v>
      </c>
      <c r="C56" s="6" t="s">
        <v>44</v>
      </c>
      <c r="E56" s="7" t="str">
        <f>LEFT(C56,FIND(" ",C56)-1)</f>
        <v>Yvonne</v>
      </c>
      <c r="F56" s="7" t="str">
        <f>RIGHT(C56,LEN(C56)-FIND(" ",C56))</f>
        <v>Francis McKay</v>
      </c>
      <c r="G56" s="7" t="str">
        <f>LEFT(F56,FIND(" ",F56)-1)</f>
        <v>Francis</v>
      </c>
      <c r="H56" s="7" t="str">
        <f>RIGHT(F56,LEN(F56)-FIND(" ",F56))</f>
        <v>McKay</v>
      </c>
    </row>
    <row r="57" spans="1:8" ht="15" customHeight="1" x14ac:dyDescent="0.25">
      <c r="A57" s="16" t="s">
        <v>371</v>
      </c>
    </row>
    <row r="58" spans="1:8" ht="15" customHeight="1" x14ac:dyDescent="0.25">
      <c r="A58" s="16" t="s">
        <v>154</v>
      </c>
    </row>
    <row r="59" spans="1:8" ht="15" customHeight="1" x14ac:dyDescent="0.25">
      <c r="A59" s="16" t="s">
        <v>156</v>
      </c>
    </row>
    <row r="60" spans="1:8" ht="15" customHeight="1" x14ac:dyDescent="0.25">
      <c r="A60" s="16" t="s">
        <v>157</v>
      </c>
    </row>
    <row r="61" spans="1:8" ht="15" customHeight="1" x14ac:dyDescent="0.25">
      <c r="A61" s="16" t="s">
        <v>295</v>
      </c>
    </row>
    <row r="62" spans="1:8" ht="15" customHeight="1" x14ac:dyDescent="0.25">
      <c r="A62" s="16" t="s">
        <v>372</v>
      </c>
    </row>
    <row r="63" spans="1:8" ht="15" customHeight="1" x14ac:dyDescent="0.25">
      <c r="A63" s="16" t="s">
        <v>177</v>
      </c>
    </row>
    <row r="79" spans="1:1" ht="15" customHeight="1" x14ac:dyDescent="0.25">
      <c r="A79" s="16" t="s">
        <v>113</v>
      </c>
    </row>
    <row r="80" spans="1:1" ht="15" customHeight="1" x14ac:dyDescent="0.25">
      <c r="A80" s="16" t="s">
        <v>158</v>
      </c>
    </row>
    <row r="81" spans="1:1" ht="15" customHeight="1" x14ac:dyDescent="0.25">
      <c r="A81" s="16" t="s">
        <v>159</v>
      </c>
    </row>
    <row r="82" spans="1:1" ht="15" customHeight="1" x14ac:dyDescent="0.25">
      <c r="A82" s="16" t="s">
        <v>160</v>
      </c>
    </row>
    <row r="83" spans="1:1" ht="15" customHeight="1" x14ac:dyDescent="0.25">
      <c r="A83" s="16" t="s">
        <v>161</v>
      </c>
    </row>
    <row r="84" spans="1:1" ht="15" customHeight="1" x14ac:dyDescent="0.25">
      <c r="A84" s="16" t="s">
        <v>162</v>
      </c>
    </row>
    <row r="85" spans="1:1" ht="15" customHeight="1" x14ac:dyDescent="0.25">
      <c r="A85" s="16" t="s">
        <v>163</v>
      </c>
    </row>
    <row r="86" spans="1:1" ht="15" customHeight="1" x14ac:dyDescent="0.25">
      <c r="A86" s="16" t="s">
        <v>112</v>
      </c>
    </row>
  </sheetData>
  <hyperlinks>
    <hyperlink ref="A80" r:id="rId1" tooltip="Select to learn about splitting text into different columns from the web"/>
    <hyperlink ref="A81" r:id="rId2" tooltip="Select to learn all about Get &amp; Transform from the web"/>
    <hyperlink ref="A82" r:id="rId3" tooltip="Select to learn all about the LEFT function from the web"/>
    <hyperlink ref="A83" r:id="rId4" tooltip="Select to learn all about the RIGHT function from the web"/>
    <hyperlink ref="A84" r:id="rId5" tooltip="Select to learn all about the FIND function from the web"/>
    <hyperlink ref="A85" r:id="rId6" tooltip="Select to learn all about the LEN function from the web"/>
  </hyperlink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76"/>
  <sheetViews>
    <sheetView showGridLines="0" zoomScaleNormal="100" zoomScalePageLayoutView="125" workbookViewId="0">
      <selection activeCell="H43" sqref="H43"/>
    </sheetView>
  </sheetViews>
  <sheetFormatPr defaultColWidth="8.85546875" defaultRowHeight="15" customHeight="1" x14ac:dyDescent="0.25"/>
  <cols>
    <col min="1" max="1" width="12.7109375" style="16" customWidth="1"/>
    <col min="2" max="2" width="82.85546875" customWidth="1"/>
  </cols>
  <sheetData>
    <row r="1" spans="1:8" ht="60" customHeight="1" x14ac:dyDescent="0.25">
      <c r="A1" s="16" t="s">
        <v>129</v>
      </c>
    </row>
    <row r="2" spans="1:8" ht="15" customHeight="1" x14ac:dyDescent="0.25">
      <c r="A2" s="16" t="s">
        <v>164</v>
      </c>
    </row>
    <row r="3" spans="1:8" ht="15" customHeight="1" x14ac:dyDescent="0.25">
      <c r="A3" s="16" t="s">
        <v>165</v>
      </c>
    </row>
    <row r="4" spans="1:8" ht="15" customHeight="1" x14ac:dyDescent="0.25">
      <c r="A4" s="16" t="s">
        <v>166</v>
      </c>
    </row>
    <row r="5" spans="1:8" s="3" customFormat="1" ht="15" customHeight="1" x14ac:dyDescent="0.25">
      <c r="A5" s="16" t="s">
        <v>167</v>
      </c>
      <c r="B5"/>
      <c r="C5" s="27" t="s">
        <v>11</v>
      </c>
      <c r="D5" s="6" t="s">
        <v>12</v>
      </c>
      <c r="E5" s="6" t="s">
        <v>13</v>
      </c>
      <c r="F5" s="6" t="s">
        <v>14</v>
      </c>
      <c r="G5" s="6" t="s">
        <v>15</v>
      </c>
      <c r="H5" s="6" t="s">
        <v>16</v>
      </c>
    </row>
    <row r="6" spans="1:8" s="3" customFormat="1" ht="15" customHeight="1" x14ac:dyDescent="0.25">
      <c r="A6" s="16" t="s">
        <v>296</v>
      </c>
      <c r="B6"/>
      <c r="C6" s="27" t="s">
        <v>1</v>
      </c>
      <c r="D6" s="6">
        <v>50</v>
      </c>
      <c r="E6" s="6">
        <v>100</v>
      </c>
      <c r="F6" s="6">
        <v>40</v>
      </c>
      <c r="G6" s="6">
        <v>50</v>
      </c>
      <c r="H6" s="6">
        <v>20</v>
      </c>
    </row>
    <row r="7" spans="1:8" s="3" customFormat="1" ht="15" customHeight="1" x14ac:dyDescent="0.25">
      <c r="A7" s="16" t="s">
        <v>297</v>
      </c>
      <c r="B7"/>
      <c r="C7"/>
      <c r="D7"/>
      <c r="E7"/>
      <c r="F7"/>
      <c r="G7"/>
      <c r="H7"/>
    </row>
    <row r="8" spans="1:8" s="3" customFormat="1" ht="15" customHeight="1" x14ac:dyDescent="0.25">
      <c r="A8" s="16" t="s">
        <v>168</v>
      </c>
      <c r="B8"/>
      <c r="C8"/>
      <c r="D8"/>
      <c r="E8"/>
      <c r="F8"/>
      <c r="G8"/>
      <c r="H8"/>
    </row>
    <row r="9" spans="1:8" s="3" customFormat="1" ht="15" customHeight="1" x14ac:dyDescent="0.25">
      <c r="A9" s="16" t="s">
        <v>118</v>
      </c>
      <c r="B9" t="s">
        <v>169</v>
      </c>
      <c r="C9" s="27" t="s">
        <v>11</v>
      </c>
      <c r="D9" s="27" t="s">
        <v>1</v>
      </c>
      <c r="E9"/>
      <c r="F9"/>
      <c r="G9"/>
      <c r="H9"/>
    </row>
    <row r="10" spans="1:8" s="3" customFormat="1" ht="15" customHeight="1" x14ac:dyDescent="0.25">
      <c r="A10" s="16"/>
      <c r="B10"/>
      <c r="C10" s="6" t="s">
        <v>12</v>
      </c>
      <c r="D10" s="6">
        <v>50</v>
      </c>
      <c r="E10"/>
      <c r="F10"/>
      <c r="G10"/>
      <c r="H10"/>
    </row>
    <row r="11" spans="1:8" s="3" customFormat="1" ht="15" customHeight="1" x14ac:dyDescent="0.25">
      <c r="A11" s="16"/>
      <c r="B11"/>
      <c r="C11" s="6" t="s">
        <v>13</v>
      </c>
      <c r="D11" s="6">
        <v>100</v>
      </c>
      <c r="E11"/>
      <c r="F11"/>
      <c r="G11"/>
      <c r="H11"/>
    </row>
    <row r="12" spans="1:8" s="3" customFormat="1" ht="15" customHeight="1" x14ac:dyDescent="0.25">
      <c r="A12" s="16"/>
      <c r="B12"/>
      <c r="C12" s="6" t="s">
        <v>14</v>
      </c>
      <c r="D12" s="6">
        <v>40</v>
      </c>
      <c r="E12"/>
      <c r="F12"/>
      <c r="G12"/>
      <c r="H12"/>
    </row>
    <row r="13" spans="1:8" s="3" customFormat="1" ht="15" customHeight="1" x14ac:dyDescent="0.25">
      <c r="A13" s="16"/>
      <c r="B13"/>
      <c r="C13" s="6" t="s">
        <v>15</v>
      </c>
      <c r="D13" s="6">
        <v>50</v>
      </c>
      <c r="E13"/>
      <c r="F13"/>
      <c r="G13"/>
      <c r="H13"/>
    </row>
    <row r="14" spans="1:8" s="3" customFormat="1" ht="15" customHeight="1" x14ac:dyDescent="0.25">
      <c r="A14" s="16"/>
      <c r="B14"/>
      <c r="C14" s="6" t="s">
        <v>16</v>
      </c>
      <c r="D14" s="6">
        <v>20</v>
      </c>
      <c r="E14"/>
      <c r="F14"/>
      <c r="G14"/>
      <c r="H14"/>
    </row>
    <row r="15" spans="1:8" s="3" customFormat="1" ht="15" customHeight="1" x14ac:dyDescent="0.25">
      <c r="A15" s="16"/>
      <c r="B15"/>
      <c r="C15"/>
      <c r="D15"/>
      <c r="E15"/>
      <c r="F15"/>
      <c r="G15"/>
      <c r="H15"/>
    </row>
    <row r="16" spans="1:8" s="3" customFormat="1" ht="15" customHeight="1" x14ac:dyDescent="0.25">
      <c r="A16" s="16"/>
      <c r="B16"/>
      <c r="C16"/>
      <c r="D16"/>
      <c r="E16"/>
      <c r="F16"/>
      <c r="G16"/>
      <c r="H16"/>
    </row>
    <row r="17" spans="1:8" s="3" customFormat="1" ht="15" customHeight="1" x14ac:dyDescent="0.25">
      <c r="A17" s="16"/>
      <c r="B17"/>
      <c r="C17"/>
      <c r="D17"/>
      <c r="E17"/>
      <c r="F17"/>
      <c r="G17"/>
      <c r="H17"/>
    </row>
    <row r="18" spans="1:8" s="3" customFormat="1" ht="15" customHeight="1" x14ac:dyDescent="0.25">
      <c r="A18" s="16"/>
      <c r="B18"/>
      <c r="C18"/>
      <c r="D18"/>
      <c r="E18"/>
      <c r="F18"/>
      <c r="G18"/>
      <c r="H18"/>
    </row>
    <row r="19" spans="1:8" s="3" customFormat="1" ht="15" customHeight="1" x14ac:dyDescent="0.25">
      <c r="A19" s="16"/>
      <c r="B19"/>
      <c r="C19"/>
      <c r="D19"/>
      <c r="E19"/>
      <c r="F19"/>
      <c r="G19"/>
      <c r="H19"/>
    </row>
    <row r="20" spans="1:8" s="3" customFormat="1" ht="15" customHeight="1" x14ac:dyDescent="0.25">
      <c r="A20" s="16"/>
      <c r="B20"/>
      <c r="C20"/>
      <c r="D20"/>
      <c r="E20"/>
      <c r="F20"/>
      <c r="G20"/>
      <c r="H20"/>
    </row>
    <row r="21" spans="1:8" s="3" customFormat="1" ht="15" customHeight="1" x14ac:dyDescent="0.25">
      <c r="A21" s="16"/>
      <c r="B21"/>
      <c r="C21"/>
      <c r="D21"/>
      <c r="E21"/>
      <c r="F21"/>
      <c r="G21"/>
      <c r="H21"/>
    </row>
    <row r="22" spans="1:8" s="3" customFormat="1" ht="15" customHeight="1" x14ac:dyDescent="0.25">
      <c r="A22" s="16"/>
      <c r="B22"/>
    </row>
    <row r="23" spans="1:8" s="3" customFormat="1" ht="15" customHeight="1" x14ac:dyDescent="0.25">
      <c r="A23" s="16"/>
      <c r="B23"/>
    </row>
    <row r="24" spans="1:8" s="3" customFormat="1" ht="15" customHeight="1" x14ac:dyDescent="0.25">
      <c r="A24" s="16"/>
      <c r="B24"/>
    </row>
    <row r="27" spans="1:8" ht="15" customHeight="1" x14ac:dyDescent="0.25">
      <c r="A27" s="16" t="s">
        <v>171</v>
      </c>
    </row>
    <row r="28" spans="1:8" ht="15" customHeight="1" x14ac:dyDescent="0.25">
      <c r="A28" s="16" t="s">
        <v>172</v>
      </c>
    </row>
    <row r="29" spans="1:8" ht="15" customHeight="1" x14ac:dyDescent="0.25">
      <c r="A29" s="16" t="s">
        <v>344</v>
      </c>
    </row>
    <row r="30" spans="1:8" ht="15" customHeight="1" x14ac:dyDescent="0.25">
      <c r="A30" s="48" t="s">
        <v>353</v>
      </c>
    </row>
    <row r="31" spans="1:8" ht="15" customHeight="1" x14ac:dyDescent="0.25">
      <c r="A31" s="16" t="s">
        <v>173</v>
      </c>
    </row>
    <row r="32" spans="1:8" ht="15" customHeight="1" x14ac:dyDescent="0.25">
      <c r="A32" s="16" t="s">
        <v>174</v>
      </c>
    </row>
    <row r="33" spans="1:8" ht="15" customHeight="1" x14ac:dyDescent="0.25">
      <c r="A33" s="16" t="s">
        <v>178</v>
      </c>
      <c r="C33" s="27" t="s">
        <v>11</v>
      </c>
      <c r="D33" s="6" t="s">
        <v>12</v>
      </c>
      <c r="E33" s="6" t="s">
        <v>13</v>
      </c>
      <c r="F33" s="6" t="s">
        <v>14</v>
      </c>
      <c r="G33" s="6" t="s">
        <v>15</v>
      </c>
      <c r="H33" s="6" t="s">
        <v>16</v>
      </c>
    </row>
    <row r="34" spans="1:8" ht="15" customHeight="1" x14ac:dyDescent="0.25">
      <c r="C34" s="27" t="s">
        <v>1</v>
      </c>
      <c r="D34" s="6">
        <v>50</v>
      </c>
      <c r="E34" s="6">
        <v>100</v>
      </c>
      <c r="F34" s="6">
        <v>40</v>
      </c>
      <c r="G34" s="6">
        <v>50</v>
      </c>
      <c r="H34" s="6">
        <v>20</v>
      </c>
    </row>
    <row r="40" spans="1:8" ht="15" customHeight="1" x14ac:dyDescent="0.25">
      <c r="C40" s="7" t="str">
        <f t="array" ref="C40:D45">TRANSPOSE(C33:H34)</f>
        <v>Item</v>
      </c>
      <c r="D40" s="7" t="str">
        <v>Amount</v>
      </c>
    </row>
    <row r="41" spans="1:8" ht="15" customHeight="1" x14ac:dyDescent="0.25">
      <c r="C41" s="7" t="str">
        <v>Bread</v>
      </c>
      <c r="D41" s="7">
        <v>50</v>
      </c>
    </row>
    <row r="42" spans="1:8" ht="15" customHeight="1" x14ac:dyDescent="0.25">
      <c r="C42" s="7" t="str">
        <v>Donuts</v>
      </c>
      <c r="D42" s="7">
        <v>100</v>
      </c>
    </row>
    <row r="43" spans="1:8" ht="15" customHeight="1" x14ac:dyDescent="0.25">
      <c r="C43" s="7" t="str">
        <v>Cookies</v>
      </c>
      <c r="D43" s="7">
        <v>40</v>
      </c>
    </row>
    <row r="44" spans="1:8" ht="15" customHeight="1" x14ac:dyDescent="0.25">
      <c r="C44" s="7" t="str">
        <v>Cakes</v>
      </c>
      <c r="D44" s="7">
        <v>50</v>
      </c>
    </row>
    <row r="45" spans="1:8" ht="15" customHeight="1" x14ac:dyDescent="0.25">
      <c r="C45" s="7" t="str">
        <v>Pies</v>
      </c>
      <c r="D45" s="7">
        <v>20</v>
      </c>
    </row>
    <row r="54" spans="1:1" ht="15" customHeight="1" x14ac:dyDescent="0.25">
      <c r="A54" s="16" t="s">
        <v>179</v>
      </c>
    </row>
    <row r="55" spans="1:1" ht="15" customHeight="1" x14ac:dyDescent="0.25">
      <c r="A55" s="16" t="s">
        <v>180</v>
      </c>
    </row>
    <row r="56" spans="1:1" ht="15" customHeight="1" x14ac:dyDescent="0.25">
      <c r="A56" s="16" t="s">
        <v>181</v>
      </c>
    </row>
    <row r="57" spans="1:1" ht="15" customHeight="1" x14ac:dyDescent="0.25">
      <c r="A57" s="16" t="s">
        <v>175</v>
      </c>
    </row>
    <row r="58" spans="1:1" ht="15" customHeight="1" x14ac:dyDescent="0.25">
      <c r="A58" s="16" t="s">
        <v>176</v>
      </c>
    </row>
    <row r="59" spans="1:1" ht="15" customHeight="1" x14ac:dyDescent="0.25">
      <c r="A59" s="16" t="s">
        <v>182</v>
      </c>
    </row>
    <row r="72" spans="1:1" ht="15" customHeight="1" x14ac:dyDescent="0.25">
      <c r="A72" s="16" t="s">
        <v>113</v>
      </c>
    </row>
    <row r="73" spans="1:1" ht="15" customHeight="1" x14ac:dyDescent="0.25">
      <c r="A73" s="16" t="s">
        <v>183</v>
      </c>
    </row>
    <row r="74" spans="1:1" ht="15" customHeight="1" x14ac:dyDescent="0.25">
      <c r="A74" s="16" t="s">
        <v>184</v>
      </c>
    </row>
    <row r="75" spans="1:1" ht="15" customHeight="1" x14ac:dyDescent="0.25">
      <c r="A75" s="16" t="s">
        <v>185</v>
      </c>
    </row>
    <row r="76" spans="1:1" ht="15" customHeight="1" x14ac:dyDescent="0.25">
      <c r="A76" s="16" t="s">
        <v>112</v>
      </c>
    </row>
  </sheetData>
  <hyperlinks>
    <hyperlink ref="A75" r:id="rId1" tooltip="Select to learn about creating an array formula from the web"/>
    <hyperlink ref="A74" r:id="rId2" tooltip="Select to learn all about the TRANSPOSE function from the web"/>
    <hyperlink ref="A73" r:id="rId3" tooltip="Select to learn about Transpose (rotate) data from rows to columns or vice versa from the web"/>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filterMode="1"/>
  <dimension ref="A1:G63"/>
  <sheetViews>
    <sheetView showGridLines="0" zoomScaleNormal="100" zoomScalePageLayoutView="125" workbookViewId="0">
      <selection activeCell="F42" sqref="F42"/>
    </sheetView>
  </sheetViews>
  <sheetFormatPr defaultColWidth="8.85546875" defaultRowHeight="15" customHeight="1" x14ac:dyDescent="0.25"/>
  <cols>
    <col min="1" max="1" width="12.7109375" style="16" customWidth="1"/>
    <col min="2" max="2" width="82.85546875" customWidth="1"/>
    <col min="3" max="3" width="15.140625" customWidth="1"/>
    <col min="4" max="4" width="12.5703125" customWidth="1"/>
    <col min="5" max="5" width="8.28515625" customWidth="1"/>
    <col min="6" max="6" width="9.28515625" customWidth="1"/>
    <col min="7" max="7" width="10.85546875" customWidth="1"/>
  </cols>
  <sheetData>
    <row r="1" spans="1:7" ht="60" customHeight="1" x14ac:dyDescent="0.25">
      <c r="A1" s="16" t="s">
        <v>130</v>
      </c>
    </row>
    <row r="2" spans="1:7" ht="15" customHeight="1" x14ac:dyDescent="0.25">
      <c r="A2" s="16" t="s">
        <v>304</v>
      </c>
    </row>
    <row r="3" spans="1:7" ht="15" customHeight="1" x14ac:dyDescent="0.25">
      <c r="A3" s="16" t="s">
        <v>298</v>
      </c>
    </row>
    <row r="4" spans="1:7" ht="15" customHeight="1" x14ac:dyDescent="0.25">
      <c r="A4" s="16" t="s">
        <v>299</v>
      </c>
    </row>
    <row r="5" spans="1:7" s="3" customFormat="1" ht="15" customHeight="1" x14ac:dyDescent="0.25">
      <c r="A5" s="16" t="s">
        <v>300</v>
      </c>
      <c r="B5"/>
      <c r="C5" s="27" t="s">
        <v>46</v>
      </c>
      <c r="D5" s="27" t="s">
        <v>26</v>
      </c>
      <c r="E5" s="27" t="s">
        <v>47</v>
      </c>
      <c r="F5" s="27" t="s">
        <v>48</v>
      </c>
      <c r="G5" s="27" t="s">
        <v>49</v>
      </c>
    </row>
    <row r="6" spans="1:7" s="3" customFormat="1" ht="15" hidden="1" customHeight="1" x14ac:dyDescent="0.25">
      <c r="A6" s="16" t="s">
        <v>301</v>
      </c>
      <c r="B6"/>
      <c r="C6" t="s">
        <v>6</v>
      </c>
      <c r="D6" t="s">
        <v>8</v>
      </c>
      <c r="E6" s="36">
        <v>75000</v>
      </c>
      <c r="F6" s="36">
        <v>82000</v>
      </c>
      <c r="G6" s="36">
        <v>2000000</v>
      </c>
    </row>
    <row r="7" spans="1:7" s="3" customFormat="1" ht="15" customHeight="1" x14ac:dyDescent="0.25">
      <c r="A7" s="16" t="s">
        <v>302</v>
      </c>
      <c r="B7"/>
      <c r="C7" t="s">
        <v>45</v>
      </c>
      <c r="D7" t="s">
        <v>52</v>
      </c>
      <c r="E7" s="36">
        <v>25000</v>
      </c>
      <c r="F7" s="36">
        <v>80000</v>
      </c>
      <c r="G7" s="36">
        <v>120000</v>
      </c>
    </row>
    <row r="8" spans="1:7" s="3" customFormat="1" ht="15" hidden="1" customHeight="1" x14ac:dyDescent="0.25">
      <c r="A8" s="16" t="s">
        <v>118</v>
      </c>
      <c r="B8"/>
      <c r="C8" s="6" t="s">
        <v>6</v>
      </c>
      <c r="D8" s="6" t="s">
        <v>7</v>
      </c>
      <c r="E8" s="50">
        <v>90000</v>
      </c>
      <c r="F8" s="50">
        <v>110000</v>
      </c>
      <c r="G8" s="50">
        <v>120000</v>
      </c>
    </row>
    <row r="9" spans="1:7" s="3" customFormat="1" ht="15" hidden="1" customHeight="1" x14ac:dyDescent="0.25">
      <c r="A9" s="16"/>
      <c r="B9"/>
      <c r="C9" s="6" t="s">
        <v>28</v>
      </c>
      <c r="D9" s="6" t="s">
        <v>0</v>
      </c>
      <c r="E9" s="50">
        <v>10000</v>
      </c>
      <c r="F9" s="50">
        <v>30000</v>
      </c>
      <c r="G9" s="50">
        <v>40000</v>
      </c>
    </row>
    <row r="10" spans="1:7" s="3" customFormat="1" ht="15" hidden="1" customHeight="1" x14ac:dyDescent="0.25">
      <c r="A10" s="16"/>
      <c r="B10"/>
      <c r="C10" t="s">
        <v>28</v>
      </c>
      <c r="D10" t="s">
        <v>50</v>
      </c>
      <c r="E10" s="36">
        <v>30000</v>
      </c>
      <c r="F10" s="36">
        <v>80000</v>
      </c>
      <c r="G10" s="36">
        <v>30000</v>
      </c>
    </row>
    <row r="11" spans="1:7" s="3" customFormat="1" ht="15" hidden="1" customHeight="1" x14ac:dyDescent="0.25">
      <c r="A11" s="16"/>
      <c r="B11"/>
      <c r="C11" s="6" t="s">
        <v>53</v>
      </c>
      <c r="D11" s="6" t="s">
        <v>54</v>
      </c>
      <c r="E11" s="50">
        <v>90000</v>
      </c>
      <c r="F11" s="50">
        <v>35000</v>
      </c>
      <c r="G11" s="50">
        <v>25000</v>
      </c>
    </row>
    <row r="12" spans="1:7" s="3" customFormat="1" ht="15" customHeight="1" x14ac:dyDescent="0.25">
      <c r="A12" s="16"/>
      <c r="B12"/>
      <c r="C12" s="5" t="s">
        <v>45</v>
      </c>
      <c r="D12" s="5" t="s">
        <v>51</v>
      </c>
      <c r="E12" s="28">
        <v>30000</v>
      </c>
      <c r="F12" s="28">
        <v>15000</v>
      </c>
      <c r="G12" s="28">
        <v>20000</v>
      </c>
    </row>
    <row r="13" spans="1:7" s="3" customFormat="1" ht="15" hidden="1" customHeight="1" x14ac:dyDescent="0.25">
      <c r="A13" s="16"/>
      <c r="B13"/>
      <c r="C13" t="s">
        <v>53</v>
      </c>
      <c r="D13" t="s">
        <v>64</v>
      </c>
      <c r="E13" s="36">
        <v>80000</v>
      </c>
      <c r="F13" s="36">
        <v>40000</v>
      </c>
      <c r="G13" s="36">
        <v>20000</v>
      </c>
    </row>
    <row r="14" spans="1:7" s="3" customFormat="1" ht="15" customHeight="1" x14ac:dyDescent="0.25">
      <c r="A14" s="16"/>
      <c r="B14"/>
      <c r="C14"/>
      <c r="D14"/>
      <c r="E14"/>
      <c r="F14"/>
      <c r="G14"/>
    </row>
    <row r="15" spans="1:7" s="3" customFormat="1" ht="15" customHeight="1" x14ac:dyDescent="0.25">
      <c r="A15" s="16"/>
      <c r="B15"/>
      <c r="C15"/>
      <c r="D15"/>
      <c r="E15"/>
      <c r="F15"/>
      <c r="G15"/>
    </row>
    <row r="16" spans="1:7" s="3" customFormat="1" ht="15" customHeight="1" x14ac:dyDescent="0.25">
      <c r="A16" s="16"/>
      <c r="B16"/>
      <c r="C16"/>
      <c r="D16"/>
      <c r="E16"/>
      <c r="F16"/>
      <c r="G16"/>
    </row>
    <row r="17" spans="1:7" s="3" customFormat="1" ht="15" customHeight="1" x14ac:dyDescent="0.25">
      <c r="A17" s="16"/>
      <c r="B17"/>
      <c r="C17"/>
      <c r="D17"/>
      <c r="E17"/>
      <c r="F17"/>
      <c r="G17"/>
    </row>
    <row r="18" spans="1:7" s="3" customFormat="1" ht="15" customHeight="1" x14ac:dyDescent="0.25">
      <c r="A18" s="16"/>
      <c r="B18"/>
      <c r="C18"/>
      <c r="D18"/>
      <c r="E18"/>
      <c r="F18"/>
      <c r="G18"/>
    </row>
    <row r="19" spans="1:7" s="3" customFormat="1" ht="15" customHeight="1" x14ac:dyDescent="0.25">
      <c r="A19" s="16"/>
      <c r="B19"/>
      <c r="C19"/>
      <c r="D19"/>
      <c r="E19"/>
      <c r="F19"/>
      <c r="G19"/>
    </row>
    <row r="20" spans="1:7" s="3" customFormat="1" ht="15" customHeight="1" x14ac:dyDescent="0.25">
      <c r="A20" s="16"/>
      <c r="B20"/>
      <c r="C20"/>
      <c r="D20"/>
      <c r="E20"/>
      <c r="F20"/>
      <c r="G20"/>
    </row>
    <row r="21" spans="1:7" s="3" customFormat="1" ht="15" customHeight="1" x14ac:dyDescent="0.25">
      <c r="A21" s="16"/>
      <c r="B21"/>
      <c r="C21"/>
      <c r="D21"/>
      <c r="E21"/>
      <c r="F21"/>
      <c r="G21"/>
    </row>
    <row r="22" spans="1:7" s="3" customFormat="1" ht="15" customHeight="1" x14ac:dyDescent="0.25">
      <c r="A22" s="16"/>
      <c r="B22"/>
    </row>
    <row r="23" spans="1:7" s="3" customFormat="1" ht="15" customHeight="1" x14ac:dyDescent="0.25">
      <c r="A23" s="16"/>
      <c r="B23"/>
    </row>
    <row r="24" spans="1:7" s="3" customFormat="1" ht="15" customHeight="1" x14ac:dyDescent="0.25">
      <c r="A24" s="16"/>
      <c r="B24"/>
    </row>
    <row r="27" spans="1:7" ht="15" customHeight="1" x14ac:dyDescent="0.25">
      <c r="A27" s="16" t="s">
        <v>186</v>
      </c>
    </row>
    <row r="28" spans="1:7" ht="15" customHeight="1" x14ac:dyDescent="0.25">
      <c r="A28" s="16" t="s">
        <v>305</v>
      </c>
    </row>
    <row r="29" spans="1:7" ht="15" customHeight="1" x14ac:dyDescent="0.25">
      <c r="A29" s="16" t="s">
        <v>303</v>
      </c>
    </row>
    <row r="30" spans="1:7" ht="15" customHeight="1" x14ac:dyDescent="0.25">
      <c r="A30" s="16" t="s">
        <v>306</v>
      </c>
    </row>
    <row r="31" spans="1:7" ht="15" customHeight="1" x14ac:dyDescent="0.25">
      <c r="A31" s="16" t="s">
        <v>365</v>
      </c>
      <c r="C31" t="s">
        <v>67</v>
      </c>
      <c r="D31" t="s">
        <v>68</v>
      </c>
      <c r="E31" t="s">
        <v>57</v>
      </c>
      <c r="F31" t="s">
        <v>69</v>
      </c>
    </row>
    <row r="32" spans="1:7" ht="15" customHeight="1" x14ac:dyDescent="0.25">
      <c r="A32" s="16" t="s">
        <v>188</v>
      </c>
      <c r="C32" s="41">
        <f ca="1">TODAY()-5</f>
        <v>46236</v>
      </c>
      <c r="D32" t="s">
        <v>74</v>
      </c>
      <c r="E32" s="34">
        <v>45</v>
      </c>
      <c r="F32" s="35">
        <v>5050</v>
      </c>
    </row>
    <row r="33" spans="1:6" ht="15" customHeight="1" x14ac:dyDescent="0.25">
      <c r="A33" s="16" t="s">
        <v>189</v>
      </c>
      <c r="C33" s="41">
        <f ca="1">TODAY()-2</f>
        <v>46239</v>
      </c>
      <c r="D33" t="s">
        <v>70</v>
      </c>
      <c r="E33" s="34">
        <v>21</v>
      </c>
      <c r="F33" s="35">
        <v>3820</v>
      </c>
    </row>
    <row r="34" spans="1:6" ht="15" customHeight="1" x14ac:dyDescent="0.25">
      <c r="C34" s="41">
        <f ca="1">TODAY()</f>
        <v>46241</v>
      </c>
      <c r="D34" t="s">
        <v>72</v>
      </c>
      <c r="E34" s="34">
        <v>30</v>
      </c>
      <c r="F34" s="35">
        <v>3085</v>
      </c>
    </row>
    <row r="35" spans="1:6" ht="15" customHeight="1" x14ac:dyDescent="0.25">
      <c r="C35" s="41">
        <f ca="1">TODAY()-6</f>
        <v>46235</v>
      </c>
      <c r="D35" t="s">
        <v>73</v>
      </c>
      <c r="E35" s="34">
        <v>25</v>
      </c>
      <c r="F35" s="34">
        <v>1611</v>
      </c>
    </row>
    <row r="36" spans="1:6" ht="15" customHeight="1" x14ac:dyDescent="0.25">
      <c r="C36" s="41">
        <f ca="1">TODAY()-4</f>
        <v>46237</v>
      </c>
      <c r="D36" t="s">
        <v>75</v>
      </c>
      <c r="E36" s="34">
        <v>69</v>
      </c>
      <c r="F36" s="34">
        <v>528</v>
      </c>
    </row>
    <row r="37" spans="1:6" ht="15" customHeight="1" x14ac:dyDescent="0.25">
      <c r="C37" s="41">
        <f ca="1">TODAY()-3</f>
        <v>46238</v>
      </c>
      <c r="D37" t="s">
        <v>71</v>
      </c>
      <c r="E37" s="34">
        <v>62</v>
      </c>
      <c r="F37" s="34">
        <v>2112</v>
      </c>
    </row>
    <row r="43" spans="1:6" ht="15" customHeight="1" x14ac:dyDescent="0.25">
      <c r="A43" s="16" t="s">
        <v>187</v>
      </c>
    </row>
    <row r="44" spans="1:6" ht="15" customHeight="1" x14ac:dyDescent="0.25">
      <c r="A44" s="16" t="s">
        <v>307</v>
      </c>
    </row>
    <row r="45" spans="1:6" ht="15" customHeight="1" x14ac:dyDescent="0.25">
      <c r="A45" s="16" t="s">
        <v>333</v>
      </c>
    </row>
    <row r="46" spans="1:6" ht="15" customHeight="1" x14ac:dyDescent="0.25">
      <c r="A46" s="16" t="s">
        <v>334</v>
      </c>
    </row>
    <row r="47" spans="1:6" ht="15" customHeight="1" x14ac:dyDescent="0.25">
      <c r="A47" s="16" t="s">
        <v>206</v>
      </c>
    </row>
    <row r="49" spans="1:6" ht="15" customHeight="1" x14ac:dyDescent="0.25">
      <c r="C49" t="s">
        <v>67</v>
      </c>
      <c r="D49" t="s">
        <v>68</v>
      </c>
      <c r="E49" t="s">
        <v>57</v>
      </c>
      <c r="F49" t="s">
        <v>69</v>
      </c>
    </row>
    <row r="50" spans="1:6" ht="15" hidden="1" customHeight="1" x14ac:dyDescent="0.25">
      <c r="C50" s="41">
        <f ca="1">TODAY()-2</f>
        <v>46239</v>
      </c>
      <c r="D50" t="s">
        <v>70</v>
      </c>
      <c r="E50" s="34">
        <v>21</v>
      </c>
      <c r="F50" s="34">
        <v>3820</v>
      </c>
    </row>
    <row r="51" spans="1:6" ht="15" hidden="1" customHeight="1" x14ac:dyDescent="0.25">
      <c r="C51" s="41">
        <f ca="1">TODAY()-3</f>
        <v>46238</v>
      </c>
      <c r="D51" t="s">
        <v>71</v>
      </c>
      <c r="E51" s="34">
        <v>62</v>
      </c>
      <c r="F51" s="34">
        <v>2112</v>
      </c>
    </row>
    <row r="52" spans="1:6" ht="15" customHeight="1" x14ac:dyDescent="0.25">
      <c r="C52" s="41">
        <f ca="1">TODAY()</f>
        <v>46241</v>
      </c>
      <c r="D52" t="s">
        <v>72</v>
      </c>
      <c r="E52" s="34">
        <v>30</v>
      </c>
      <c r="F52" s="34">
        <v>3085</v>
      </c>
    </row>
    <row r="53" spans="1:6" ht="15" hidden="1" customHeight="1" x14ac:dyDescent="0.25">
      <c r="C53" s="41">
        <f ca="1">TODAY()-6</f>
        <v>46235</v>
      </c>
      <c r="D53" t="s">
        <v>73</v>
      </c>
      <c r="E53" s="34">
        <v>25</v>
      </c>
      <c r="F53" s="34">
        <v>1611</v>
      </c>
    </row>
    <row r="54" spans="1:6" ht="15" customHeight="1" x14ac:dyDescent="0.25">
      <c r="C54" s="41">
        <f ca="1">TODAY()-5</f>
        <v>46236</v>
      </c>
      <c r="D54" t="s">
        <v>74</v>
      </c>
      <c r="E54" s="34">
        <v>45</v>
      </c>
      <c r="F54" s="34">
        <v>5050</v>
      </c>
    </row>
    <row r="55" spans="1:6" ht="15" hidden="1" customHeight="1" x14ac:dyDescent="0.25">
      <c r="C55" s="41">
        <f ca="1">TODAY()-4</f>
        <v>46237</v>
      </c>
      <c r="D55" t="s">
        <v>75</v>
      </c>
      <c r="E55" s="34">
        <v>69</v>
      </c>
      <c r="F55" s="34">
        <v>528</v>
      </c>
    </row>
    <row r="60" spans="1:6" ht="15" customHeight="1" x14ac:dyDescent="0.25">
      <c r="A60" s="16" t="s">
        <v>113</v>
      </c>
    </row>
    <row r="61" spans="1:6" ht="15" customHeight="1" x14ac:dyDescent="0.25">
      <c r="A61" s="16" t="s">
        <v>190</v>
      </c>
    </row>
    <row r="62" spans="1:6" ht="15" customHeight="1" x14ac:dyDescent="0.25">
      <c r="A62" s="16" t="s">
        <v>191</v>
      </c>
    </row>
    <row r="63" spans="1:6" ht="15" customHeight="1" x14ac:dyDescent="0.25">
      <c r="A63" s="16" t="s">
        <v>112</v>
      </c>
    </row>
  </sheetData>
  <autoFilter ref="C5:G13">
    <filterColumn colId="0">
      <filters>
        <filter val="Bakery"/>
      </filters>
    </filterColumn>
  </autoFilter>
  <sortState ref="C6:G13">
    <sortCondition descending="1" ref="G5"/>
  </sortState>
  <hyperlinks>
    <hyperlink ref="A62" r:id="rId1" tooltip="Select to learn about filtering data in a range or table from the web"/>
    <hyperlink ref="A61" r:id="rId2" tooltip="Select to learn about sorting data in a range or table from the web"/>
  </hyperlinks>
  <pageMargins left="0.7" right="0.7" top="0.75" bottom="0.75" header="0.3" footer="0.3"/>
  <pageSetup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76"/>
  <sheetViews>
    <sheetView showGridLines="0" zoomScaleNormal="100" zoomScalePageLayoutView="125" workbookViewId="0">
      <selection activeCell="F9" sqref="F9"/>
    </sheetView>
  </sheetViews>
  <sheetFormatPr defaultColWidth="8.85546875" defaultRowHeight="15" customHeight="1" x14ac:dyDescent="0.25"/>
  <cols>
    <col min="1" max="1" width="12.7109375" style="16" customWidth="1"/>
    <col min="2" max="2" width="82.85546875" customWidth="1"/>
    <col min="3" max="3" width="13.85546875" customWidth="1"/>
    <col min="4" max="4" width="11" customWidth="1"/>
    <col min="5" max="8" width="9.28515625" customWidth="1"/>
  </cols>
  <sheetData>
    <row r="1" spans="1:9" ht="60" customHeight="1" x14ac:dyDescent="0.65">
      <c r="A1" s="16" t="s">
        <v>131</v>
      </c>
      <c r="B1" s="1"/>
    </row>
    <row r="2" spans="1:9" ht="15" customHeight="1" x14ac:dyDescent="0.25">
      <c r="A2" s="16" t="s">
        <v>192</v>
      </c>
    </row>
    <row r="3" spans="1:9" ht="15" customHeight="1" x14ac:dyDescent="0.3">
      <c r="A3" s="16" t="s">
        <v>234</v>
      </c>
      <c r="B3" s="2"/>
    </row>
    <row r="4" spans="1:9" ht="15" customHeight="1" x14ac:dyDescent="0.25">
      <c r="A4" s="16" t="s">
        <v>308</v>
      </c>
    </row>
    <row r="5" spans="1:9" s="3" customFormat="1" ht="15" customHeight="1" x14ac:dyDescent="0.25">
      <c r="A5" s="16" t="s">
        <v>193</v>
      </c>
      <c r="C5" t="s">
        <v>46</v>
      </c>
      <c r="D5" t="s">
        <v>26</v>
      </c>
      <c r="E5" t="s">
        <v>47</v>
      </c>
      <c r="F5" t="s">
        <v>48</v>
      </c>
      <c r="G5" t="s">
        <v>49</v>
      </c>
      <c r="H5" t="s">
        <v>35</v>
      </c>
      <c r="I5" s="3" t="s">
        <v>395</v>
      </c>
    </row>
    <row r="6" spans="1:9" s="3" customFormat="1" ht="15" customHeight="1" x14ac:dyDescent="0.3">
      <c r="A6" s="16" t="s">
        <v>309</v>
      </c>
      <c r="B6" s="4"/>
      <c r="C6" t="s">
        <v>28</v>
      </c>
      <c r="D6" t="s">
        <v>50</v>
      </c>
      <c r="E6">
        <v>30000</v>
      </c>
      <c r="F6">
        <v>80000</v>
      </c>
      <c r="G6">
        <v>30000</v>
      </c>
      <c r="H6"/>
    </row>
    <row r="7" spans="1:9" s="3" customFormat="1" ht="15" customHeight="1" x14ac:dyDescent="0.25">
      <c r="A7" s="16" t="s">
        <v>335</v>
      </c>
      <c r="C7" t="s">
        <v>28</v>
      </c>
      <c r="D7" t="s">
        <v>0</v>
      </c>
      <c r="E7">
        <v>10000</v>
      </c>
      <c r="F7">
        <v>30000</v>
      </c>
      <c r="G7">
        <v>40000</v>
      </c>
      <c r="H7"/>
    </row>
    <row r="8" spans="1:9" s="3" customFormat="1" ht="15" customHeight="1" x14ac:dyDescent="0.25">
      <c r="A8" s="16" t="s">
        <v>235</v>
      </c>
      <c r="C8" t="s">
        <v>45</v>
      </c>
      <c r="D8" t="s">
        <v>51</v>
      </c>
      <c r="E8">
        <v>30000</v>
      </c>
      <c r="F8">
        <v>15000</v>
      </c>
      <c r="G8">
        <v>20000</v>
      </c>
      <c r="H8"/>
    </row>
    <row r="9" spans="1:9" s="3" customFormat="1" ht="15" customHeight="1" x14ac:dyDescent="0.25">
      <c r="A9" s="48" t="s">
        <v>336</v>
      </c>
      <c r="C9" t="s">
        <v>45</v>
      </c>
      <c r="D9" t="s">
        <v>52</v>
      </c>
      <c r="E9">
        <v>25000</v>
      </c>
      <c r="F9">
        <v>80000</v>
      </c>
      <c r="G9">
        <v>120000</v>
      </c>
      <c r="H9"/>
    </row>
    <row r="10" spans="1:9" s="3" customFormat="1" ht="15" customHeight="1" x14ac:dyDescent="0.25">
      <c r="A10" s="16" t="s">
        <v>118</v>
      </c>
      <c r="C10" t="s">
        <v>53</v>
      </c>
      <c r="D10" t="s">
        <v>65</v>
      </c>
      <c r="E10">
        <v>80000</v>
      </c>
      <c r="F10">
        <v>40000</v>
      </c>
      <c r="G10">
        <v>20000</v>
      </c>
      <c r="H10"/>
    </row>
    <row r="11" spans="1:9" s="3" customFormat="1" ht="15" customHeight="1" x14ac:dyDescent="0.25">
      <c r="A11" s="16"/>
      <c r="C11" t="s">
        <v>53</v>
      </c>
      <c r="D11" t="s">
        <v>54</v>
      </c>
      <c r="E11">
        <v>90000</v>
      </c>
      <c r="F11">
        <v>35000</v>
      </c>
      <c r="G11">
        <v>25000</v>
      </c>
      <c r="H11"/>
    </row>
    <row r="12" spans="1:9" s="3" customFormat="1" ht="15" customHeight="1" x14ac:dyDescent="0.25">
      <c r="A12" s="16"/>
      <c r="C12" t="s">
        <v>6</v>
      </c>
      <c r="D12" t="s">
        <v>7</v>
      </c>
      <c r="E12">
        <v>90000</v>
      </c>
      <c r="F12">
        <v>110000</v>
      </c>
      <c r="G12">
        <v>200000</v>
      </c>
      <c r="H12"/>
    </row>
    <row r="13" spans="1:9" s="3" customFormat="1" ht="15" customHeight="1" x14ac:dyDescent="0.25">
      <c r="A13" s="16"/>
      <c r="C13" t="s">
        <v>6</v>
      </c>
      <c r="D13" t="s">
        <v>8</v>
      </c>
      <c r="E13">
        <v>75000</v>
      </c>
      <c r="F13">
        <v>82000</v>
      </c>
      <c r="G13">
        <v>150000</v>
      </c>
      <c r="H13"/>
    </row>
    <row r="14" spans="1:9" s="3" customFormat="1" ht="15" customHeight="1" x14ac:dyDescent="0.25">
      <c r="A14" s="16"/>
      <c r="C14" t="s">
        <v>400</v>
      </c>
      <c r="D14"/>
      <c r="E14"/>
      <c r="F14"/>
      <c r="G14"/>
      <c r="H14"/>
    </row>
    <row r="15" spans="1:9" s="3" customFormat="1" ht="15" customHeight="1" x14ac:dyDescent="0.25">
      <c r="A15" s="16"/>
      <c r="C15" t="s">
        <v>401</v>
      </c>
      <c r="D15"/>
      <c r="E15"/>
      <c r="F15"/>
      <c r="G15"/>
      <c r="H15"/>
    </row>
    <row r="16" spans="1:9" s="3" customFormat="1" ht="15" customHeight="1" x14ac:dyDescent="0.25">
      <c r="A16" s="16"/>
      <c r="C16"/>
      <c r="D16"/>
      <c r="E16"/>
      <c r="F16"/>
      <c r="G16"/>
      <c r="H16"/>
    </row>
    <row r="17" spans="1:8" s="3" customFormat="1" ht="15" customHeight="1" x14ac:dyDescent="0.25">
      <c r="A17" s="16"/>
      <c r="C17"/>
      <c r="D17"/>
      <c r="E17"/>
      <c r="F17"/>
      <c r="G17"/>
      <c r="H17"/>
    </row>
    <row r="18" spans="1:8" s="3" customFormat="1" ht="15" customHeight="1" x14ac:dyDescent="0.25">
      <c r="A18" s="16"/>
      <c r="C18"/>
      <c r="D18"/>
      <c r="E18"/>
      <c r="F18"/>
      <c r="G18"/>
      <c r="H18"/>
    </row>
    <row r="19" spans="1:8" s="3" customFormat="1" ht="15" customHeight="1" x14ac:dyDescent="0.25">
      <c r="A19" s="16"/>
      <c r="C19"/>
      <c r="D19"/>
      <c r="E19"/>
      <c r="F19"/>
      <c r="G19"/>
      <c r="H19"/>
    </row>
    <row r="20" spans="1:8" s="3" customFormat="1" ht="15" customHeight="1" x14ac:dyDescent="0.25">
      <c r="A20" s="16"/>
      <c r="C20"/>
      <c r="D20"/>
      <c r="E20"/>
      <c r="F20"/>
      <c r="G20"/>
      <c r="H20"/>
    </row>
    <row r="21" spans="1:8" s="3" customFormat="1" ht="15" customHeight="1" x14ac:dyDescent="0.25">
      <c r="A21" s="16"/>
      <c r="C21"/>
      <c r="D21"/>
      <c r="E21"/>
      <c r="F21"/>
      <c r="G21"/>
      <c r="H21"/>
    </row>
    <row r="22" spans="1:8" s="3" customFormat="1" ht="15" customHeight="1" x14ac:dyDescent="0.25">
      <c r="A22" s="16"/>
    </row>
    <row r="23" spans="1:8" s="3" customFormat="1" ht="15" customHeight="1" x14ac:dyDescent="0.25">
      <c r="A23" s="16"/>
    </row>
    <row r="24" spans="1:8" s="3" customFormat="1" ht="15" customHeight="1" x14ac:dyDescent="0.25">
      <c r="A24" s="16"/>
    </row>
    <row r="27" spans="1:8" ht="15" customHeight="1" x14ac:dyDescent="0.25">
      <c r="A27" s="16" t="s">
        <v>194</v>
      </c>
    </row>
    <row r="28" spans="1:8" ht="15" customHeight="1" x14ac:dyDescent="0.25">
      <c r="A28" s="16" t="s">
        <v>195</v>
      </c>
    </row>
    <row r="29" spans="1:8" ht="15" customHeight="1" x14ac:dyDescent="0.25">
      <c r="A29" s="16" t="s">
        <v>310</v>
      </c>
    </row>
    <row r="30" spans="1:8" ht="15" customHeight="1" x14ac:dyDescent="0.25">
      <c r="A30" s="16" t="s">
        <v>236</v>
      </c>
    </row>
    <row r="31" spans="1:8" ht="15" customHeight="1" x14ac:dyDescent="0.25">
      <c r="A31" s="16" t="s">
        <v>311</v>
      </c>
    </row>
    <row r="32" spans="1:8" ht="15" customHeight="1" x14ac:dyDescent="0.25">
      <c r="A32" s="16" t="s">
        <v>237</v>
      </c>
    </row>
    <row r="33" spans="1:8" ht="15" customHeight="1" x14ac:dyDescent="0.25">
      <c r="A33" s="16" t="s">
        <v>196</v>
      </c>
      <c r="C33" s="27" t="s">
        <v>46</v>
      </c>
      <c r="D33" s="27" t="s">
        <v>26</v>
      </c>
      <c r="E33" s="27" t="s">
        <v>47</v>
      </c>
      <c r="F33" s="27" t="s">
        <v>48</v>
      </c>
      <c r="G33" s="27" t="s">
        <v>49</v>
      </c>
      <c r="H33" s="27" t="s">
        <v>55</v>
      </c>
    </row>
    <row r="34" spans="1:8" ht="15" customHeight="1" x14ac:dyDescent="0.25">
      <c r="C34" s="5" t="s">
        <v>28</v>
      </c>
      <c r="D34" s="5" t="s">
        <v>50</v>
      </c>
      <c r="E34" s="28">
        <v>30000</v>
      </c>
      <c r="F34" s="28">
        <v>80000</v>
      </c>
      <c r="G34" s="28">
        <v>30000</v>
      </c>
      <c r="H34" s="36">
        <f>SUM(CalculatedColumns[[#This Row],[Oct]:[Dec]])</f>
        <v>140000</v>
      </c>
    </row>
    <row r="35" spans="1:8" ht="15" customHeight="1" x14ac:dyDescent="0.25">
      <c r="C35" t="s">
        <v>28</v>
      </c>
      <c r="D35" t="s">
        <v>0</v>
      </c>
      <c r="E35" s="36">
        <v>10000</v>
      </c>
      <c r="F35" s="36">
        <v>30000</v>
      </c>
      <c r="G35" s="36">
        <v>40000</v>
      </c>
      <c r="H35" s="36">
        <f>SUM(CalculatedColumns[[#This Row],[Oct]:[Dec]])</f>
        <v>80000</v>
      </c>
    </row>
    <row r="36" spans="1:8" ht="15" customHeight="1" x14ac:dyDescent="0.25">
      <c r="C36" s="5" t="s">
        <v>45</v>
      </c>
      <c r="D36" s="5" t="s">
        <v>51</v>
      </c>
      <c r="E36" s="28">
        <v>30000</v>
      </c>
      <c r="F36" s="28">
        <v>15000</v>
      </c>
      <c r="G36" s="28">
        <v>20000</v>
      </c>
      <c r="H36" s="36">
        <f>SUM(CalculatedColumns[[#This Row],[Oct]:[Dec]])</f>
        <v>65000</v>
      </c>
    </row>
    <row r="37" spans="1:8" ht="15" customHeight="1" x14ac:dyDescent="0.25">
      <c r="C37" t="s">
        <v>45</v>
      </c>
      <c r="D37" t="s">
        <v>52</v>
      </c>
      <c r="E37" s="36">
        <v>25000</v>
      </c>
      <c r="F37" s="36">
        <v>80000</v>
      </c>
      <c r="G37" s="36">
        <v>120000</v>
      </c>
      <c r="H37" s="36">
        <f>SUM(CalculatedColumns[[#This Row],[Oct]:[Dec]])</f>
        <v>225000</v>
      </c>
    </row>
    <row r="38" spans="1:8" ht="15" customHeight="1" x14ac:dyDescent="0.25">
      <c r="C38" s="5" t="s">
        <v>53</v>
      </c>
      <c r="D38" s="5" t="s">
        <v>64</v>
      </c>
      <c r="E38" s="28">
        <v>80000</v>
      </c>
      <c r="F38" s="28">
        <v>40000</v>
      </c>
      <c r="G38" s="28">
        <v>20000</v>
      </c>
      <c r="H38" s="36">
        <f>SUM(CalculatedColumns[[#This Row],[Oct]:[Dec]])</f>
        <v>140000</v>
      </c>
    </row>
    <row r="39" spans="1:8" ht="15" customHeight="1" x14ac:dyDescent="0.25">
      <c r="C39" t="s">
        <v>53</v>
      </c>
      <c r="D39" t="s">
        <v>54</v>
      </c>
      <c r="E39" s="36">
        <v>90000</v>
      </c>
      <c r="F39" s="36">
        <v>35000</v>
      </c>
      <c r="G39" s="36">
        <v>25000</v>
      </c>
      <c r="H39" s="36">
        <f>SUM(CalculatedColumns[[#This Row],[Oct]:[Dec]])</f>
        <v>150000</v>
      </c>
    </row>
    <row r="40" spans="1:8" ht="15" customHeight="1" x14ac:dyDescent="0.25">
      <c r="C40" s="5" t="s">
        <v>6</v>
      </c>
      <c r="D40" s="5" t="s">
        <v>7</v>
      </c>
      <c r="E40" s="28">
        <v>90000</v>
      </c>
      <c r="F40" s="28">
        <v>110000</v>
      </c>
      <c r="G40" s="28">
        <v>200000</v>
      </c>
      <c r="H40" s="36">
        <f>SUM(CalculatedColumns[[#This Row],[Oct]:[Dec]])</f>
        <v>400000</v>
      </c>
    </row>
    <row r="41" spans="1:8" ht="15" customHeight="1" x14ac:dyDescent="0.25">
      <c r="C41" t="s">
        <v>6</v>
      </c>
      <c r="D41" t="s">
        <v>8</v>
      </c>
      <c r="E41" s="36">
        <v>75000</v>
      </c>
      <c r="F41" s="36">
        <v>82000</v>
      </c>
      <c r="G41" s="36">
        <v>150000</v>
      </c>
      <c r="H41" s="36">
        <f>SUM(CalculatedColumns[[#This Row],[Oct]:[Dec]])</f>
        <v>307000</v>
      </c>
    </row>
    <row r="47" spans="1:8" ht="15" customHeight="1" x14ac:dyDescent="0.25">
      <c r="A47" s="16" t="s">
        <v>197</v>
      </c>
    </row>
    <row r="48" spans="1:8" ht="15" customHeight="1" x14ac:dyDescent="0.25">
      <c r="A48" s="16" t="s">
        <v>198</v>
      </c>
    </row>
    <row r="49" spans="1:5" ht="15" customHeight="1" x14ac:dyDescent="0.25">
      <c r="A49" s="16" t="s">
        <v>312</v>
      </c>
    </row>
    <row r="50" spans="1:5" ht="15" customHeight="1" x14ac:dyDescent="0.25">
      <c r="A50" s="16" t="s">
        <v>238</v>
      </c>
    </row>
    <row r="51" spans="1:5" ht="15" customHeight="1" x14ac:dyDescent="0.25">
      <c r="A51" s="16" t="s">
        <v>313</v>
      </c>
    </row>
    <row r="52" spans="1:5" ht="15" customHeight="1" x14ac:dyDescent="0.25">
      <c r="A52" s="16" t="s">
        <v>314</v>
      </c>
    </row>
    <row r="53" spans="1:5" ht="15" customHeight="1" x14ac:dyDescent="0.25">
      <c r="A53" s="16" t="s">
        <v>315</v>
      </c>
      <c r="C53" s="27" t="s">
        <v>46</v>
      </c>
      <c r="D53" s="27" t="s">
        <v>26</v>
      </c>
      <c r="E53" s="27" t="s">
        <v>56</v>
      </c>
    </row>
    <row r="54" spans="1:5" ht="15" customHeight="1" x14ac:dyDescent="0.25">
      <c r="A54" s="16" t="s">
        <v>239</v>
      </c>
      <c r="C54" s="5" t="s">
        <v>28</v>
      </c>
      <c r="D54" s="5" t="s">
        <v>50</v>
      </c>
      <c r="E54" s="36">
        <v>1000</v>
      </c>
    </row>
    <row r="55" spans="1:5" ht="15" customHeight="1" x14ac:dyDescent="0.25">
      <c r="A55" s="16" t="s">
        <v>316</v>
      </c>
      <c r="C55" t="s">
        <v>28</v>
      </c>
      <c r="D55" t="s">
        <v>0</v>
      </c>
      <c r="E55" s="36">
        <v>2000</v>
      </c>
    </row>
    <row r="56" spans="1:5" ht="15" customHeight="1" x14ac:dyDescent="0.25">
      <c r="A56" s="16" t="s">
        <v>240</v>
      </c>
      <c r="C56" s="5" t="s">
        <v>45</v>
      </c>
      <c r="D56" s="5" t="s">
        <v>51</v>
      </c>
      <c r="E56" s="36">
        <v>3000</v>
      </c>
    </row>
    <row r="57" spans="1:5" ht="15" customHeight="1" x14ac:dyDescent="0.25">
      <c r="A57" s="16" t="s">
        <v>182</v>
      </c>
      <c r="C57" t="s">
        <v>45</v>
      </c>
      <c r="D57" t="s">
        <v>52</v>
      </c>
      <c r="E57" s="36">
        <v>1000</v>
      </c>
    </row>
    <row r="58" spans="1:5" ht="15" customHeight="1" x14ac:dyDescent="0.25">
      <c r="C58" s="5" t="s">
        <v>53</v>
      </c>
      <c r="D58" s="5" t="s">
        <v>64</v>
      </c>
      <c r="E58" s="36">
        <v>2000</v>
      </c>
    </row>
    <row r="59" spans="1:5" ht="15" customHeight="1" x14ac:dyDescent="0.25">
      <c r="C59" t="s">
        <v>53</v>
      </c>
      <c r="D59" t="s">
        <v>54</v>
      </c>
      <c r="E59" s="36">
        <v>3000</v>
      </c>
    </row>
    <row r="60" spans="1:5" ht="15" customHeight="1" x14ac:dyDescent="0.25">
      <c r="C60" s="5" t="s">
        <v>6</v>
      </c>
      <c r="D60" s="5" t="s">
        <v>7</v>
      </c>
      <c r="E60" s="36">
        <v>4000</v>
      </c>
    </row>
    <row r="61" spans="1:5" ht="15" customHeight="1" x14ac:dyDescent="0.25">
      <c r="C61" t="s">
        <v>6</v>
      </c>
      <c r="D61" t="s">
        <v>8</v>
      </c>
      <c r="E61" s="36">
        <v>8000</v>
      </c>
    </row>
    <row r="62" spans="1:5" ht="15" customHeight="1" x14ac:dyDescent="0.25">
      <c r="C62" t="s">
        <v>55</v>
      </c>
      <c r="E62" s="40">
        <f>SUBTOTAL(101,TotalRows[Sales])</f>
        <v>3000</v>
      </c>
    </row>
    <row r="72" spans="1:2" ht="15" customHeight="1" x14ac:dyDescent="0.25">
      <c r="A72" s="16" t="s">
        <v>113</v>
      </c>
    </row>
    <row r="73" spans="1:2" ht="15" customHeight="1" x14ac:dyDescent="0.25">
      <c r="A73" s="16" t="s">
        <v>199</v>
      </c>
    </row>
    <row r="74" spans="1:2" ht="15" customHeight="1" x14ac:dyDescent="0.25">
      <c r="A74" s="16" t="s">
        <v>200</v>
      </c>
    </row>
    <row r="75" spans="1:2" ht="15" customHeight="1" x14ac:dyDescent="0.25">
      <c r="A75" s="16" t="s">
        <v>201</v>
      </c>
    </row>
    <row r="76" spans="1:2" ht="15" customHeight="1" x14ac:dyDescent="0.25">
      <c r="A76" s="16" t="s">
        <v>112</v>
      </c>
      <c r="B76" t="s">
        <v>170</v>
      </c>
    </row>
  </sheetData>
  <hyperlinks>
    <hyperlink ref="A75" r:id="rId1" tooltip="Select to learn about using calculated columns in an Excel table from the web"/>
    <hyperlink ref="A74" r:id="rId2" tooltip="Select to learn about Total the data in an Excel table from the web"/>
    <hyperlink ref="A73" r:id="rId3" tooltip="Select to learn an overview of Excel tables from the web"/>
  </hyperlinks>
  <pageMargins left="0.7" right="0.7" top="0.75" bottom="0.75" header="0.3" footer="0.3"/>
  <pageSetup orientation="portrait" r:id="rId4"/>
  <drawing r:id="rId5"/>
  <tableParts count="3">
    <tablePart r:id="rId6"/>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F63"/>
  <sheetViews>
    <sheetView showGridLines="0" zoomScaleNormal="100" zoomScalePageLayoutView="125" workbookViewId="0">
      <selection activeCell="F33" sqref="F33"/>
    </sheetView>
  </sheetViews>
  <sheetFormatPr defaultColWidth="8.85546875" defaultRowHeight="15" customHeight="1" x14ac:dyDescent="0.25"/>
  <cols>
    <col min="1" max="1" width="12.7109375" style="16" customWidth="1"/>
    <col min="2" max="2" width="82.85546875" customWidth="1"/>
    <col min="3" max="4" width="11.7109375" customWidth="1"/>
    <col min="5" max="6" width="13.85546875" customWidth="1"/>
  </cols>
  <sheetData>
    <row r="1" spans="1:6" ht="60" customHeight="1" x14ac:dyDescent="0.25">
      <c r="A1" s="16" t="s">
        <v>132</v>
      </c>
    </row>
    <row r="2" spans="1:6" ht="15" customHeight="1" x14ac:dyDescent="0.25">
      <c r="A2" s="16" t="s">
        <v>202</v>
      </c>
    </row>
    <row r="3" spans="1:6" ht="15" customHeight="1" x14ac:dyDescent="0.25">
      <c r="A3" s="16" t="s">
        <v>317</v>
      </c>
      <c r="C3" s="27" t="s">
        <v>57</v>
      </c>
      <c r="D3" s="27" t="s">
        <v>46</v>
      </c>
    </row>
    <row r="4" spans="1:6" ht="15" customHeight="1" x14ac:dyDescent="0.25">
      <c r="A4" s="16" t="s">
        <v>203</v>
      </c>
      <c r="C4" s="6" t="s">
        <v>2</v>
      </c>
      <c r="D4" s="7"/>
    </row>
    <row r="5" spans="1:6" s="3" customFormat="1" ht="15" customHeight="1" x14ac:dyDescent="0.25">
      <c r="A5" s="16" t="s">
        <v>318</v>
      </c>
      <c r="B5"/>
      <c r="C5" s="6" t="s">
        <v>7</v>
      </c>
      <c r="D5" s="7"/>
      <c r="F5"/>
    </row>
    <row r="6" spans="1:6" s="3" customFormat="1" ht="15" customHeight="1" x14ac:dyDescent="0.25">
      <c r="A6" s="16" t="s">
        <v>377</v>
      </c>
      <c r="B6"/>
      <c r="C6" s="6" t="s">
        <v>4</v>
      </c>
      <c r="D6" s="7"/>
      <c r="F6"/>
    </row>
    <row r="7" spans="1:6" s="3" customFormat="1" ht="15" customHeight="1" x14ac:dyDescent="0.25">
      <c r="A7" s="16" t="s">
        <v>319</v>
      </c>
      <c r="B7"/>
      <c r="C7" s="6" t="s">
        <v>5</v>
      </c>
      <c r="D7" s="7"/>
      <c r="F7"/>
    </row>
    <row r="8" spans="1:6" s="3" customFormat="1" ht="15" customHeight="1" x14ac:dyDescent="0.25">
      <c r="A8" s="16" t="s">
        <v>337</v>
      </c>
      <c r="B8"/>
      <c r="C8" s="6" t="s">
        <v>58</v>
      </c>
      <c r="D8" s="7"/>
      <c r="F8"/>
    </row>
    <row r="9" spans="1:6" s="3" customFormat="1" ht="15" customHeight="1" x14ac:dyDescent="0.25">
      <c r="A9" s="16" t="s">
        <v>241</v>
      </c>
      <c r="B9"/>
      <c r="C9" s="6" t="s">
        <v>59</v>
      </c>
      <c r="D9" s="7"/>
      <c r="F9"/>
    </row>
    <row r="10" spans="1:6" s="3" customFormat="1" ht="15" customHeight="1" x14ac:dyDescent="0.25">
      <c r="A10" s="16" t="s">
        <v>118</v>
      </c>
      <c r="B10"/>
      <c r="C10" s="6" t="s">
        <v>60</v>
      </c>
      <c r="D10" s="7"/>
      <c r="F10"/>
    </row>
    <row r="11" spans="1:6" s="3" customFormat="1" ht="15" customHeight="1" x14ac:dyDescent="0.25">
      <c r="A11" s="16"/>
      <c r="B11"/>
      <c r="C11" s="6" t="s">
        <v>12</v>
      </c>
      <c r="D11" s="7"/>
      <c r="F11"/>
    </row>
    <row r="12" spans="1:6" s="3" customFormat="1" ht="15" customHeight="1" x14ac:dyDescent="0.25">
      <c r="A12" s="16"/>
      <c r="B12"/>
      <c r="C12" s="6" t="s">
        <v>8</v>
      </c>
      <c r="D12" s="7"/>
      <c r="F12"/>
    </row>
    <row r="13" spans="1:6" s="3" customFormat="1" ht="15" customHeight="1" x14ac:dyDescent="0.25">
      <c r="A13" s="16"/>
      <c r="B13"/>
      <c r="C13" s="6" t="s">
        <v>14</v>
      </c>
      <c r="D13" s="7"/>
      <c r="F13"/>
    </row>
    <row r="14" spans="1:6" s="3" customFormat="1" ht="15" customHeight="1" x14ac:dyDescent="0.25">
      <c r="A14" s="16"/>
      <c r="B14"/>
      <c r="C14" s="6" t="s">
        <v>15</v>
      </c>
      <c r="D14" s="7"/>
      <c r="F14"/>
    </row>
    <row r="15" spans="1:6" s="3" customFormat="1" ht="15" customHeight="1" x14ac:dyDescent="0.25">
      <c r="A15" s="16"/>
      <c r="B15"/>
      <c r="C15" s="6" t="s">
        <v>16</v>
      </c>
      <c r="D15" s="7"/>
      <c r="F15"/>
    </row>
    <row r="16" spans="1:6" s="3" customFormat="1" ht="15" customHeight="1" x14ac:dyDescent="0.25">
      <c r="A16" s="16"/>
      <c r="B16"/>
    </row>
    <row r="17" spans="1:6" s="3" customFormat="1" ht="15" customHeight="1" x14ac:dyDescent="0.25">
      <c r="A17" s="16"/>
      <c r="B17"/>
    </row>
    <row r="18" spans="1:6" s="3" customFormat="1" ht="15" customHeight="1" x14ac:dyDescent="0.25">
      <c r="A18" s="16"/>
      <c r="B18"/>
      <c r="C18"/>
      <c r="D18"/>
      <c r="E18"/>
      <c r="F18"/>
    </row>
    <row r="19" spans="1:6" s="3" customFormat="1" ht="15" customHeight="1" x14ac:dyDescent="0.25">
      <c r="A19" s="16"/>
      <c r="B19"/>
      <c r="C19"/>
      <c r="D19"/>
      <c r="E19"/>
      <c r="F19"/>
    </row>
    <row r="20" spans="1:6" s="3" customFormat="1" ht="15" customHeight="1" x14ac:dyDescent="0.25">
      <c r="A20" s="16"/>
      <c r="B20"/>
      <c r="C20"/>
      <c r="D20"/>
      <c r="E20"/>
      <c r="F20"/>
    </row>
    <row r="21" spans="1:6" s="3" customFormat="1" ht="15" customHeight="1" x14ac:dyDescent="0.25">
      <c r="A21" s="16"/>
      <c r="B21"/>
      <c r="C21"/>
      <c r="D21"/>
      <c r="E21"/>
      <c r="F21"/>
    </row>
    <row r="22" spans="1:6" s="3" customFormat="1" ht="15" customHeight="1" x14ac:dyDescent="0.25">
      <c r="A22" s="16"/>
      <c r="B22"/>
    </row>
    <row r="23" spans="1:6" s="3" customFormat="1" ht="15" customHeight="1" x14ac:dyDescent="0.25">
      <c r="A23" s="16"/>
      <c r="B23"/>
    </row>
    <row r="24" spans="1:6" s="3" customFormat="1" ht="15" customHeight="1" x14ac:dyDescent="0.25">
      <c r="A24" s="16"/>
      <c r="B24"/>
    </row>
    <row r="27" spans="1:6" ht="15" customHeight="1" x14ac:dyDescent="0.25">
      <c r="A27" s="16" t="s">
        <v>204</v>
      </c>
    </row>
    <row r="28" spans="1:6" ht="15" customHeight="1" x14ac:dyDescent="0.25">
      <c r="A28" s="16" t="s">
        <v>205</v>
      </c>
    </row>
    <row r="29" spans="1:6" ht="15" customHeight="1" x14ac:dyDescent="0.25">
      <c r="A29" s="16" t="s">
        <v>320</v>
      </c>
    </row>
    <row r="30" spans="1:6" ht="15" customHeight="1" x14ac:dyDescent="0.25">
      <c r="A30" s="16" t="s">
        <v>242</v>
      </c>
    </row>
    <row r="31" spans="1:6" ht="15" customHeight="1" x14ac:dyDescent="0.25">
      <c r="A31" s="16" t="s">
        <v>244</v>
      </c>
      <c r="C31" s="27" t="s">
        <v>57</v>
      </c>
      <c r="D31" s="27" t="s">
        <v>46</v>
      </c>
      <c r="F31" s="44" t="s">
        <v>46</v>
      </c>
    </row>
    <row r="32" spans="1:6" ht="15" customHeight="1" x14ac:dyDescent="0.25">
      <c r="A32" s="16" t="s">
        <v>243</v>
      </c>
      <c r="C32" s="6" t="s">
        <v>2</v>
      </c>
      <c r="D32" s="6"/>
      <c r="F32" s="8" t="s">
        <v>28</v>
      </c>
    </row>
    <row r="33" spans="1:6" ht="15" customHeight="1" x14ac:dyDescent="0.25">
      <c r="A33" s="16" t="s">
        <v>378</v>
      </c>
      <c r="C33" s="6" t="s">
        <v>7</v>
      </c>
      <c r="D33" s="6"/>
      <c r="F33" s="6" t="s">
        <v>6</v>
      </c>
    </row>
    <row r="34" spans="1:6" ht="15" customHeight="1" x14ac:dyDescent="0.25">
      <c r="A34" s="16" t="s">
        <v>321</v>
      </c>
      <c r="C34" s="6" t="s">
        <v>4</v>
      </c>
      <c r="D34" s="6"/>
      <c r="F34" s="8" t="s">
        <v>45</v>
      </c>
    </row>
    <row r="35" spans="1:6" ht="15" customHeight="1" x14ac:dyDescent="0.25">
      <c r="A35" s="16" t="s">
        <v>245</v>
      </c>
      <c r="C35" s="6" t="s">
        <v>5</v>
      </c>
      <c r="D35" s="6"/>
    </row>
    <row r="36" spans="1:6" ht="15" customHeight="1" x14ac:dyDescent="0.25">
      <c r="A36" s="16" t="s">
        <v>246</v>
      </c>
      <c r="C36" s="6" t="s">
        <v>58</v>
      </c>
      <c r="D36" s="6"/>
    </row>
    <row r="37" spans="1:6" ht="15" customHeight="1" x14ac:dyDescent="0.25">
      <c r="A37" s="16" t="s">
        <v>247</v>
      </c>
      <c r="C37" s="6" t="s">
        <v>59</v>
      </c>
      <c r="D37" s="6"/>
    </row>
    <row r="38" spans="1:6" ht="15" customHeight="1" x14ac:dyDescent="0.25">
      <c r="A38" s="16" t="s">
        <v>206</v>
      </c>
      <c r="C38" s="6" t="s">
        <v>60</v>
      </c>
      <c r="D38" s="6"/>
    </row>
    <row r="39" spans="1:6" ht="15" customHeight="1" x14ac:dyDescent="0.25">
      <c r="C39" s="6" t="s">
        <v>12</v>
      </c>
      <c r="D39" s="6"/>
    </row>
    <row r="40" spans="1:6" ht="15" customHeight="1" x14ac:dyDescent="0.25">
      <c r="C40" s="6" t="s">
        <v>8</v>
      </c>
      <c r="D40" s="6"/>
    </row>
    <row r="41" spans="1:6" ht="15" customHeight="1" x14ac:dyDescent="0.25">
      <c r="C41" s="6" t="s">
        <v>14</v>
      </c>
      <c r="D41" s="6"/>
    </row>
    <row r="42" spans="1:6" ht="15" customHeight="1" x14ac:dyDescent="0.25">
      <c r="C42" s="6" t="s">
        <v>15</v>
      </c>
      <c r="D42" s="6"/>
    </row>
    <row r="43" spans="1:6" ht="15" customHeight="1" x14ac:dyDescent="0.25">
      <c r="C43" s="6" t="s">
        <v>16</v>
      </c>
      <c r="D43" s="6"/>
    </row>
    <row r="60" spans="1:1" ht="15" customHeight="1" x14ac:dyDescent="0.25">
      <c r="A60" s="16" t="s">
        <v>113</v>
      </c>
    </row>
    <row r="61" spans="1:1" ht="15" customHeight="1" x14ac:dyDescent="0.25">
      <c r="A61" s="16" t="s">
        <v>207</v>
      </c>
    </row>
    <row r="62" spans="1:1" ht="15" customHeight="1" x14ac:dyDescent="0.25">
      <c r="A62" s="16" t="s">
        <v>208</v>
      </c>
    </row>
    <row r="63" spans="1:1" ht="15" customHeight="1" x14ac:dyDescent="0.25">
      <c r="A63" s="16" t="s">
        <v>112</v>
      </c>
    </row>
  </sheetData>
  <dataValidations count="2">
    <dataValidation type="list" allowBlank="1" showInputMessage="1" showErrorMessage="1" sqref="D4">
      <formula1>"produce,meat,bakery"</formula1>
    </dataValidation>
    <dataValidation type="list" allowBlank="1" showInputMessage="1" showErrorMessage="1" sqref="F31:F34">
      <formula1>$F$32:$F$34</formula1>
    </dataValidation>
  </dataValidations>
  <hyperlinks>
    <hyperlink ref="A62" r:id="rId1" tooltip="Select to learn about creating a drop-down list from the web"/>
    <hyperlink ref="A61" r:id="rId2" tooltip="Select to learn about applying data validation to cells from the web"/>
  </hyperlinks>
  <pageMargins left="0.7" right="0.7" top="0.75" bottom="0.75" header="0.3" footer="0.3"/>
  <pageSetup orientation="portrait" r:id="rId3"/>
  <drawing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G71"/>
  <sheetViews>
    <sheetView showGridLines="0" topLeftCell="A63" zoomScaleNormal="100" zoomScalePageLayoutView="125" workbookViewId="0">
      <selection activeCell="G53" sqref="G53"/>
    </sheetView>
  </sheetViews>
  <sheetFormatPr defaultColWidth="8.85546875" defaultRowHeight="15" customHeight="1" x14ac:dyDescent="0.25"/>
  <cols>
    <col min="1" max="1" width="12.7109375" style="16" customWidth="1"/>
    <col min="2" max="2" width="82.85546875" customWidth="1"/>
    <col min="3" max="3" width="13.85546875" customWidth="1"/>
    <col min="4" max="4" width="11" customWidth="1"/>
    <col min="5" max="5" width="10.85546875" customWidth="1"/>
    <col min="6" max="7" width="11.85546875" customWidth="1"/>
  </cols>
  <sheetData>
    <row r="1" spans="1:7" ht="60" customHeight="1" x14ac:dyDescent="0.25">
      <c r="A1" s="16" t="s">
        <v>133</v>
      </c>
    </row>
    <row r="2" spans="1:7" ht="15" customHeight="1" x14ac:dyDescent="0.25">
      <c r="A2" s="16" t="s">
        <v>209</v>
      </c>
    </row>
    <row r="3" spans="1:7" ht="15" customHeight="1" x14ac:dyDescent="0.25">
      <c r="A3" s="16" t="s">
        <v>322</v>
      </c>
    </row>
    <row r="4" spans="1:7" ht="15" customHeight="1" x14ac:dyDescent="0.25">
      <c r="A4" s="16" t="s">
        <v>252</v>
      </c>
    </row>
    <row r="5" spans="1:7" s="3" customFormat="1" ht="15" customHeight="1" x14ac:dyDescent="0.25">
      <c r="A5" s="16" t="s">
        <v>354</v>
      </c>
      <c r="B5"/>
      <c r="C5" t="s">
        <v>46</v>
      </c>
      <c r="D5" t="s">
        <v>26</v>
      </c>
      <c r="E5" t="s">
        <v>47</v>
      </c>
      <c r="F5" t="s">
        <v>48</v>
      </c>
      <c r="G5" t="s">
        <v>49</v>
      </c>
    </row>
    <row r="6" spans="1:7" s="3" customFormat="1" ht="15" customHeight="1" x14ac:dyDescent="0.25">
      <c r="A6" s="16" t="s">
        <v>248</v>
      </c>
      <c r="B6"/>
      <c r="C6" t="s">
        <v>28</v>
      </c>
      <c r="D6" t="s">
        <v>50</v>
      </c>
      <c r="E6" s="36">
        <v>30000</v>
      </c>
      <c r="F6" s="36">
        <v>80000</v>
      </c>
      <c r="G6" s="36">
        <v>30000</v>
      </c>
    </row>
    <row r="7" spans="1:7" s="3" customFormat="1" ht="15" customHeight="1" x14ac:dyDescent="0.25">
      <c r="A7" s="16" t="s">
        <v>249</v>
      </c>
      <c r="B7"/>
      <c r="C7" t="s">
        <v>28</v>
      </c>
      <c r="D7" t="s">
        <v>0</v>
      </c>
      <c r="E7" s="36">
        <v>10000</v>
      </c>
      <c r="F7" s="36">
        <v>30000</v>
      </c>
      <c r="G7" s="36">
        <v>40000</v>
      </c>
    </row>
    <row r="8" spans="1:7" s="3" customFormat="1" ht="15" customHeight="1" x14ac:dyDescent="0.25">
      <c r="A8" s="16" t="s">
        <v>355</v>
      </c>
      <c r="B8"/>
      <c r="C8" t="s">
        <v>45</v>
      </c>
      <c r="D8" t="s">
        <v>51</v>
      </c>
      <c r="E8" s="36">
        <v>30000</v>
      </c>
      <c r="F8" s="36">
        <v>15000</v>
      </c>
      <c r="G8" s="36">
        <v>20000</v>
      </c>
    </row>
    <row r="9" spans="1:7" s="3" customFormat="1" ht="15" customHeight="1" x14ac:dyDescent="0.25">
      <c r="A9" s="16" t="s">
        <v>250</v>
      </c>
      <c r="B9"/>
      <c r="C9" t="s">
        <v>45</v>
      </c>
      <c r="D9" t="s">
        <v>52</v>
      </c>
      <c r="E9" s="36">
        <v>25000</v>
      </c>
      <c r="F9" s="36">
        <v>80000</v>
      </c>
      <c r="G9" s="36">
        <v>120000</v>
      </c>
    </row>
    <row r="10" spans="1:7" s="3" customFormat="1" ht="15" customHeight="1" x14ac:dyDescent="0.25">
      <c r="A10" s="16" t="s">
        <v>118</v>
      </c>
      <c r="B10"/>
      <c r="C10" t="s">
        <v>53</v>
      </c>
      <c r="D10" t="s">
        <v>65</v>
      </c>
      <c r="E10" s="36">
        <v>80000</v>
      </c>
      <c r="F10" s="36">
        <v>40000</v>
      </c>
      <c r="G10" s="36">
        <v>20000</v>
      </c>
    </row>
    <row r="11" spans="1:7" s="3" customFormat="1" ht="15" customHeight="1" x14ac:dyDescent="0.25">
      <c r="A11" s="16"/>
      <c r="B11"/>
      <c r="C11" t="s">
        <v>53</v>
      </c>
      <c r="D11" t="s">
        <v>54</v>
      </c>
      <c r="E11" s="36">
        <v>90000</v>
      </c>
      <c r="F11" s="36">
        <v>35000</v>
      </c>
      <c r="G11" s="36">
        <v>25000</v>
      </c>
    </row>
    <row r="12" spans="1:7" s="3" customFormat="1" ht="15" customHeight="1" x14ac:dyDescent="0.25">
      <c r="A12" s="16"/>
      <c r="B12"/>
      <c r="C12" t="s">
        <v>6</v>
      </c>
      <c r="D12" t="s">
        <v>7</v>
      </c>
      <c r="E12" s="36">
        <v>90000</v>
      </c>
      <c r="F12" s="36">
        <v>110000</v>
      </c>
      <c r="G12" s="36">
        <v>200000</v>
      </c>
    </row>
    <row r="13" spans="1:7" s="3" customFormat="1" ht="15" customHeight="1" x14ac:dyDescent="0.25">
      <c r="A13" s="16"/>
      <c r="B13"/>
      <c r="C13" t="s">
        <v>6</v>
      </c>
      <c r="D13" t="s">
        <v>8</v>
      </c>
      <c r="E13" s="36">
        <v>75000</v>
      </c>
      <c r="F13" s="36">
        <v>82000</v>
      </c>
      <c r="G13" s="36">
        <v>150000</v>
      </c>
    </row>
    <row r="14" spans="1:7" s="3" customFormat="1" ht="15" customHeight="1" x14ac:dyDescent="0.25">
      <c r="A14" s="16"/>
      <c r="B14"/>
      <c r="C14"/>
      <c r="D14"/>
      <c r="E14"/>
      <c r="F14"/>
      <c r="G14"/>
    </row>
    <row r="15" spans="1:7" s="3" customFormat="1" ht="15" customHeight="1" x14ac:dyDescent="0.25">
      <c r="A15" s="16"/>
      <c r="B15"/>
      <c r="C15"/>
      <c r="D15"/>
      <c r="E15"/>
      <c r="F15"/>
      <c r="G15"/>
    </row>
    <row r="16" spans="1:7" s="3" customFormat="1" ht="15" customHeight="1" x14ac:dyDescent="0.25">
      <c r="A16" s="16"/>
      <c r="B16"/>
      <c r="C16"/>
      <c r="D16"/>
      <c r="E16"/>
      <c r="F16"/>
      <c r="G16"/>
    </row>
    <row r="17" spans="1:7" s="3" customFormat="1" ht="15" customHeight="1" x14ac:dyDescent="0.25">
      <c r="A17" s="16"/>
      <c r="B17"/>
      <c r="C17"/>
      <c r="D17"/>
      <c r="E17"/>
      <c r="F17"/>
      <c r="G17"/>
    </row>
    <row r="18" spans="1:7" s="3" customFormat="1" ht="15" customHeight="1" x14ac:dyDescent="0.25">
      <c r="A18" s="16"/>
      <c r="B18"/>
      <c r="C18"/>
      <c r="D18"/>
      <c r="E18"/>
      <c r="F18"/>
      <c r="G18"/>
    </row>
    <row r="19" spans="1:7" s="3" customFormat="1" ht="15" customHeight="1" x14ac:dyDescent="0.25">
      <c r="A19" s="16"/>
      <c r="B19"/>
      <c r="C19"/>
      <c r="D19"/>
      <c r="E19"/>
      <c r="F19"/>
      <c r="G19"/>
    </row>
    <row r="20" spans="1:7" s="3" customFormat="1" ht="15" customHeight="1" x14ac:dyDescent="0.25">
      <c r="A20" s="16"/>
      <c r="B20"/>
      <c r="C20"/>
      <c r="D20"/>
      <c r="E20"/>
      <c r="F20"/>
      <c r="G20"/>
    </row>
    <row r="21" spans="1:7" s="3" customFormat="1" ht="15" customHeight="1" x14ac:dyDescent="0.25">
      <c r="A21" s="16"/>
      <c r="B21"/>
      <c r="C21"/>
      <c r="D21"/>
      <c r="E21"/>
      <c r="F21"/>
      <c r="G21"/>
    </row>
    <row r="22" spans="1:7" s="3" customFormat="1" ht="15" customHeight="1" x14ac:dyDescent="0.25">
      <c r="A22" s="16"/>
      <c r="B22"/>
    </row>
    <row r="23" spans="1:7" s="3" customFormat="1" ht="15" customHeight="1" x14ac:dyDescent="0.25">
      <c r="A23" s="16"/>
      <c r="B23"/>
    </row>
    <row r="24" spans="1:7" s="3" customFormat="1" ht="15" customHeight="1" x14ac:dyDescent="0.25">
      <c r="A24" s="16"/>
      <c r="B24"/>
    </row>
    <row r="27" spans="1:7" ht="15" customHeight="1" x14ac:dyDescent="0.25">
      <c r="A27" s="16" t="s">
        <v>210</v>
      </c>
    </row>
    <row r="28" spans="1:7" ht="15" customHeight="1" x14ac:dyDescent="0.25">
      <c r="A28" s="16" t="s">
        <v>251</v>
      </c>
    </row>
    <row r="29" spans="1:7" ht="15" customHeight="1" x14ac:dyDescent="0.25">
      <c r="A29" s="16" t="s">
        <v>323</v>
      </c>
    </row>
    <row r="30" spans="1:7" ht="15" customHeight="1" x14ac:dyDescent="0.25">
      <c r="A30" s="16" t="s">
        <v>253</v>
      </c>
    </row>
    <row r="31" spans="1:7" ht="15" customHeight="1" x14ac:dyDescent="0.25">
      <c r="A31" s="16" t="s">
        <v>254</v>
      </c>
    </row>
    <row r="32" spans="1:7" ht="15" customHeight="1" x14ac:dyDescent="0.25">
      <c r="A32" s="16" t="s">
        <v>255</v>
      </c>
    </row>
    <row r="33" spans="1:7" ht="15" customHeight="1" x14ac:dyDescent="0.25">
      <c r="A33" s="16" t="s">
        <v>338</v>
      </c>
    </row>
    <row r="34" spans="1:7" ht="15" customHeight="1" x14ac:dyDescent="0.25">
      <c r="A34" s="16" t="s">
        <v>196</v>
      </c>
      <c r="C34" t="s">
        <v>46</v>
      </c>
      <c r="D34" t="s">
        <v>26</v>
      </c>
      <c r="E34" t="s">
        <v>47</v>
      </c>
      <c r="F34" t="s">
        <v>48</v>
      </c>
      <c r="G34" t="s">
        <v>49</v>
      </c>
    </row>
    <row r="35" spans="1:7" ht="15" customHeight="1" x14ac:dyDescent="0.25">
      <c r="C35" t="s">
        <v>45</v>
      </c>
      <c r="D35" t="s">
        <v>51</v>
      </c>
      <c r="E35" s="36">
        <v>30000</v>
      </c>
      <c r="F35" s="36">
        <v>15000</v>
      </c>
      <c r="G35" s="36">
        <v>20000</v>
      </c>
    </row>
    <row r="36" spans="1:7" ht="15" customHeight="1" x14ac:dyDescent="0.25">
      <c r="C36" t="s">
        <v>45</v>
      </c>
      <c r="D36" t="s">
        <v>52</v>
      </c>
      <c r="E36" s="36">
        <v>25000</v>
      </c>
      <c r="F36" s="36">
        <v>80000</v>
      </c>
      <c r="G36" s="36">
        <v>120000</v>
      </c>
    </row>
    <row r="37" spans="1:7" ht="15" customHeight="1" x14ac:dyDescent="0.25">
      <c r="C37" t="s">
        <v>53</v>
      </c>
      <c r="D37" t="s">
        <v>64</v>
      </c>
      <c r="E37" s="36">
        <v>80000</v>
      </c>
      <c r="F37" s="36">
        <v>40000</v>
      </c>
      <c r="G37" s="36">
        <v>20000</v>
      </c>
    </row>
    <row r="38" spans="1:7" ht="15" customHeight="1" x14ac:dyDescent="0.25">
      <c r="C38" t="s">
        <v>53</v>
      </c>
      <c r="D38" t="s">
        <v>54</v>
      </c>
      <c r="E38" s="36">
        <v>90000</v>
      </c>
      <c r="F38" s="36">
        <v>35000</v>
      </c>
      <c r="G38" s="36">
        <v>25000</v>
      </c>
    </row>
    <row r="39" spans="1:7" ht="15" customHeight="1" x14ac:dyDescent="0.25">
      <c r="C39" t="s">
        <v>6</v>
      </c>
      <c r="D39" t="s">
        <v>7</v>
      </c>
      <c r="E39" s="36">
        <v>90000</v>
      </c>
      <c r="F39" s="36">
        <v>110000</v>
      </c>
      <c r="G39" s="36">
        <v>200000</v>
      </c>
    </row>
    <row r="40" spans="1:7" ht="15" customHeight="1" x14ac:dyDescent="0.25">
      <c r="C40" t="s">
        <v>6</v>
      </c>
      <c r="D40" t="s">
        <v>8</v>
      </c>
      <c r="E40" s="36">
        <v>75000</v>
      </c>
      <c r="F40" s="36">
        <v>82000</v>
      </c>
      <c r="G40" s="36">
        <v>150000</v>
      </c>
    </row>
    <row r="41" spans="1:7" ht="15" customHeight="1" x14ac:dyDescent="0.25">
      <c r="C41" t="s">
        <v>28</v>
      </c>
      <c r="D41" t="s">
        <v>50</v>
      </c>
      <c r="E41" s="36">
        <v>30000</v>
      </c>
      <c r="F41" s="36">
        <v>80000</v>
      </c>
      <c r="G41" s="36">
        <v>30000</v>
      </c>
    </row>
    <row r="42" spans="1:7" ht="15" customHeight="1" x14ac:dyDescent="0.25">
      <c r="C42" t="s">
        <v>28</v>
      </c>
      <c r="D42" t="s">
        <v>0</v>
      </c>
      <c r="E42" s="36">
        <v>10000</v>
      </c>
      <c r="F42" s="36">
        <v>30000</v>
      </c>
      <c r="G42" s="36">
        <v>40000</v>
      </c>
    </row>
    <row r="47" spans="1:7" ht="15" customHeight="1" x14ac:dyDescent="0.25">
      <c r="A47" s="16" t="s">
        <v>211</v>
      </c>
    </row>
    <row r="48" spans="1:7" ht="15" customHeight="1" x14ac:dyDescent="0.25">
      <c r="A48" s="16" t="s">
        <v>212</v>
      </c>
    </row>
    <row r="49" spans="1:7" ht="15" customHeight="1" x14ac:dyDescent="0.25">
      <c r="A49" s="16" t="s">
        <v>324</v>
      </c>
    </row>
    <row r="50" spans="1:7" ht="15" customHeight="1" x14ac:dyDescent="0.25">
      <c r="A50" s="16" t="s">
        <v>256</v>
      </c>
    </row>
    <row r="51" spans="1:7" ht="15" customHeight="1" x14ac:dyDescent="0.25">
      <c r="A51" s="16" t="s">
        <v>257</v>
      </c>
    </row>
    <row r="52" spans="1:7" ht="15" customHeight="1" x14ac:dyDescent="0.25">
      <c r="A52" s="16" t="s">
        <v>258</v>
      </c>
    </row>
    <row r="53" spans="1:7" ht="15" customHeight="1" x14ac:dyDescent="0.25">
      <c r="A53" s="16" t="s">
        <v>325</v>
      </c>
    </row>
    <row r="54" spans="1:7" ht="15" customHeight="1" x14ac:dyDescent="0.25">
      <c r="A54" s="16" t="s">
        <v>215</v>
      </c>
      <c r="C54" t="s">
        <v>46</v>
      </c>
      <c r="D54" t="s">
        <v>26</v>
      </c>
      <c r="E54" t="s">
        <v>47</v>
      </c>
      <c r="F54" t="s">
        <v>48</v>
      </c>
      <c r="G54" t="s">
        <v>49</v>
      </c>
    </row>
    <row r="55" spans="1:7" ht="15" customHeight="1" x14ac:dyDescent="0.25">
      <c r="C55" t="s">
        <v>45</v>
      </c>
      <c r="D55" t="s">
        <v>51</v>
      </c>
      <c r="E55" s="36">
        <v>30000</v>
      </c>
      <c r="F55" s="36">
        <v>15000</v>
      </c>
      <c r="G55" s="36">
        <v>20000</v>
      </c>
    </row>
    <row r="56" spans="1:7" ht="15" customHeight="1" x14ac:dyDescent="0.25">
      <c r="C56" t="s">
        <v>45</v>
      </c>
      <c r="D56" t="s">
        <v>52</v>
      </c>
      <c r="E56" s="36">
        <v>25000</v>
      </c>
      <c r="F56" s="36">
        <v>80000</v>
      </c>
      <c r="G56" s="36">
        <v>120000</v>
      </c>
    </row>
    <row r="57" spans="1:7" ht="15" customHeight="1" x14ac:dyDescent="0.25">
      <c r="C57" t="s">
        <v>53</v>
      </c>
      <c r="D57" t="s">
        <v>64</v>
      </c>
      <c r="E57" s="36">
        <v>80000</v>
      </c>
      <c r="F57" s="36">
        <v>40000</v>
      </c>
      <c r="G57" s="36">
        <v>20000</v>
      </c>
    </row>
    <row r="58" spans="1:7" ht="15" customHeight="1" x14ac:dyDescent="0.25">
      <c r="C58" t="s">
        <v>53</v>
      </c>
      <c r="D58" t="s">
        <v>54</v>
      </c>
      <c r="E58" s="36">
        <v>90000</v>
      </c>
      <c r="F58" s="36">
        <v>35000</v>
      </c>
      <c r="G58" s="36">
        <v>25000</v>
      </c>
    </row>
    <row r="59" spans="1:7" ht="15" customHeight="1" x14ac:dyDescent="0.25">
      <c r="C59" t="s">
        <v>6</v>
      </c>
      <c r="D59" t="s">
        <v>7</v>
      </c>
      <c r="E59" s="36">
        <v>90000</v>
      </c>
      <c r="F59" s="36">
        <v>110000</v>
      </c>
      <c r="G59" s="36">
        <v>200000</v>
      </c>
    </row>
    <row r="60" spans="1:7" ht="15" customHeight="1" x14ac:dyDescent="0.25">
      <c r="C60" t="s">
        <v>6</v>
      </c>
      <c r="D60" t="s">
        <v>8</v>
      </c>
      <c r="E60" s="36">
        <v>75000</v>
      </c>
      <c r="F60" s="36">
        <v>82000</v>
      </c>
      <c r="G60" s="36">
        <v>150000</v>
      </c>
    </row>
    <row r="61" spans="1:7" ht="15" customHeight="1" x14ac:dyDescent="0.25">
      <c r="C61" t="s">
        <v>28</v>
      </c>
      <c r="D61" t="s">
        <v>50</v>
      </c>
      <c r="E61" s="36">
        <v>30000</v>
      </c>
      <c r="F61" s="36">
        <v>80000</v>
      </c>
      <c r="G61" s="36">
        <v>30000</v>
      </c>
    </row>
    <row r="62" spans="1:7" ht="15" customHeight="1" x14ac:dyDescent="0.25">
      <c r="C62" t="s">
        <v>28</v>
      </c>
      <c r="D62" t="s">
        <v>0</v>
      </c>
      <c r="E62" s="36">
        <v>10000</v>
      </c>
      <c r="F62" s="36">
        <v>30000</v>
      </c>
      <c r="G62" s="36">
        <v>40000</v>
      </c>
    </row>
    <row r="68" spans="1:1" ht="15" customHeight="1" x14ac:dyDescent="0.25">
      <c r="A68" s="16" t="s">
        <v>113</v>
      </c>
    </row>
    <row r="69" spans="1:1" ht="15" customHeight="1" x14ac:dyDescent="0.25">
      <c r="A69" s="16" t="s">
        <v>213</v>
      </c>
    </row>
    <row r="70" spans="1:1" ht="15" customHeight="1" x14ac:dyDescent="0.25">
      <c r="A70" s="16" t="s">
        <v>214</v>
      </c>
    </row>
    <row r="71" spans="1:1" ht="15" customHeight="1" x14ac:dyDescent="0.25">
      <c r="A71" s="16" t="s">
        <v>112</v>
      </c>
    </row>
  </sheetData>
  <hyperlinks>
    <hyperlink ref="A69" r:id="rId1" tooltip="Select to learn about analyzing your data instantly from the web"/>
    <hyperlink ref="A70" r:id="rId2" tooltip="Select to learn about analyzing trends in data using sparklines from the web"/>
  </hyperlinks>
  <pageMargins left="0.7" right="0.7" top="0.75" bottom="0.75" header="0.3" footer="0.3"/>
  <pageSetup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73"/>
  <sheetViews>
    <sheetView showGridLines="0" topLeftCell="A66" zoomScaleNormal="100" zoomScalePageLayoutView="125" workbookViewId="0">
      <selection activeCell="F79" sqref="F79"/>
    </sheetView>
  </sheetViews>
  <sheetFormatPr defaultColWidth="8.85546875" defaultRowHeight="15" customHeight="1" x14ac:dyDescent="0.25"/>
  <cols>
    <col min="1" max="1" width="12.7109375" style="16" customWidth="1"/>
    <col min="2" max="2" width="82.85546875" customWidth="1"/>
    <col min="3" max="3" width="13.85546875" customWidth="1"/>
    <col min="4" max="4" width="24.42578125" customWidth="1"/>
    <col min="5" max="5" width="23.85546875" customWidth="1"/>
    <col min="6" max="6" width="15.5703125" customWidth="1"/>
  </cols>
  <sheetData>
    <row r="1" spans="1:6" ht="60" customHeight="1" x14ac:dyDescent="0.25">
      <c r="A1" s="16" t="s">
        <v>134</v>
      </c>
    </row>
    <row r="2" spans="1:6" ht="15" customHeight="1" x14ac:dyDescent="0.25">
      <c r="A2" s="16" t="s">
        <v>345</v>
      </c>
    </row>
    <row r="3" spans="1:6" ht="15" customHeight="1" x14ac:dyDescent="0.25">
      <c r="A3" s="16" t="s">
        <v>259</v>
      </c>
    </row>
    <row r="4" spans="1:6" ht="15" customHeight="1" x14ac:dyDescent="0.25">
      <c r="A4" s="16" t="s">
        <v>346</v>
      </c>
    </row>
    <row r="5" spans="1:6" s="3" customFormat="1" ht="15" customHeight="1" x14ac:dyDescent="0.25">
      <c r="A5" s="16" t="s">
        <v>326</v>
      </c>
      <c r="B5"/>
      <c r="C5" t="s">
        <v>84</v>
      </c>
      <c r="D5" t="s">
        <v>85</v>
      </c>
      <c r="E5"/>
      <c r="F5"/>
    </row>
    <row r="6" spans="1:6" s="3" customFormat="1" ht="15" customHeight="1" x14ac:dyDescent="0.25">
      <c r="A6" s="16" t="s">
        <v>363</v>
      </c>
      <c r="B6"/>
      <c r="C6">
        <f ca="1">YEAR(TODAY())-5</f>
        <v>2021</v>
      </c>
      <c r="D6">
        <v>500</v>
      </c>
      <c r="E6"/>
      <c r="F6"/>
    </row>
    <row r="7" spans="1:6" s="3" customFormat="1" ht="15" customHeight="1" x14ac:dyDescent="0.25">
      <c r="A7" s="16" t="s">
        <v>347</v>
      </c>
      <c r="B7"/>
      <c r="C7">
        <f ca="1">YEAR(TODAY())-4</f>
        <v>2022</v>
      </c>
      <c r="D7">
        <v>800</v>
      </c>
      <c r="E7"/>
      <c r="F7"/>
    </row>
    <row r="8" spans="1:6" s="3" customFormat="1" ht="15" customHeight="1" x14ac:dyDescent="0.25">
      <c r="A8" s="16" t="s">
        <v>260</v>
      </c>
      <c r="B8"/>
      <c r="C8">
        <f ca="1">YEAR(TODAY())-3</f>
        <v>2023</v>
      </c>
      <c r="D8">
        <v>1000</v>
      </c>
      <c r="E8"/>
      <c r="F8"/>
    </row>
    <row r="9" spans="1:6" s="3" customFormat="1" ht="15" customHeight="1" x14ac:dyDescent="0.25">
      <c r="A9" s="48" t="s">
        <v>339</v>
      </c>
      <c r="B9"/>
      <c r="C9">
        <f ca="1">YEAR(TODAY())-2</f>
        <v>2024</v>
      </c>
      <c r="D9">
        <v>900</v>
      </c>
      <c r="E9"/>
      <c r="F9"/>
    </row>
    <row r="10" spans="1:6" s="3" customFormat="1" ht="15" customHeight="1" x14ac:dyDescent="0.25">
      <c r="A10" s="16" t="s">
        <v>118</v>
      </c>
      <c r="B10"/>
      <c r="C10">
        <f ca="1">YEAR(TODAY())-1</f>
        <v>2025</v>
      </c>
      <c r="D10">
        <v>1000</v>
      </c>
      <c r="E10"/>
      <c r="F10"/>
    </row>
    <row r="11" spans="1:6" s="3" customFormat="1" ht="15" customHeight="1" x14ac:dyDescent="0.25">
      <c r="A11" s="16"/>
      <c r="B11"/>
      <c r="C11">
        <f ca="1">YEAR(TODAY())</f>
        <v>2026</v>
      </c>
      <c r="D11">
        <v>1200</v>
      </c>
      <c r="E11"/>
      <c r="F11"/>
    </row>
    <row r="12" spans="1:6" s="3" customFormat="1" ht="15" customHeight="1" x14ac:dyDescent="0.25">
      <c r="A12" s="16"/>
      <c r="B12"/>
      <c r="C12"/>
      <c r="D12"/>
      <c r="E12"/>
      <c r="F12"/>
    </row>
    <row r="13" spans="1:6" s="3" customFormat="1" ht="15" customHeight="1" x14ac:dyDescent="0.25">
      <c r="A13" s="16"/>
      <c r="B13"/>
      <c r="C13"/>
      <c r="D13"/>
      <c r="E13"/>
      <c r="F13"/>
    </row>
    <row r="14" spans="1:6" s="3" customFormat="1" ht="15" customHeight="1" x14ac:dyDescent="0.25">
      <c r="A14" s="16"/>
      <c r="B14"/>
      <c r="C14"/>
      <c r="D14"/>
      <c r="E14"/>
      <c r="F14"/>
    </row>
    <row r="15" spans="1:6" s="3" customFormat="1" ht="15" customHeight="1" x14ac:dyDescent="0.25">
      <c r="A15" s="16"/>
      <c r="B15"/>
      <c r="C15"/>
      <c r="D15"/>
      <c r="E15"/>
      <c r="F15"/>
    </row>
    <row r="16" spans="1:6" s="3" customFormat="1" ht="15" customHeight="1" x14ac:dyDescent="0.25">
      <c r="A16" s="16"/>
      <c r="B16"/>
      <c r="C16"/>
      <c r="D16"/>
      <c r="E16"/>
      <c r="F16"/>
    </row>
    <row r="17" spans="1:6" s="3" customFormat="1" ht="15" customHeight="1" x14ac:dyDescent="0.25">
      <c r="A17" s="16"/>
      <c r="B17"/>
      <c r="C17"/>
      <c r="D17"/>
      <c r="E17"/>
      <c r="F17"/>
    </row>
    <row r="18" spans="1:6" s="3" customFormat="1" ht="15" customHeight="1" x14ac:dyDescent="0.25">
      <c r="A18" s="16"/>
      <c r="B18"/>
      <c r="C18"/>
      <c r="D18"/>
      <c r="E18"/>
      <c r="F18"/>
    </row>
    <row r="19" spans="1:6" s="3" customFormat="1" ht="15" customHeight="1" x14ac:dyDescent="0.25">
      <c r="A19" s="16"/>
      <c r="B19"/>
      <c r="C19"/>
      <c r="D19"/>
      <c r="E19"/>
      <c r="F19"/>
    </row>
    <row r="20" spans="1:6" s="3" customFormat="1" ht="15" customHeight="1" x14ac:dyDescent="0.25">
      <c r="A20" s="16"/>
      <c r="B20"/>
      <c r="C20"/>
      <c r="D20"/>
      <c r="E20"/>
      <c r="F20"/>
    </row>
    <row r="21" spans="1:6" s="3" customFormat="1" ht="15" customHeight="1" x14ac:dyDescent="0.25">
      <c r="A21" s="16"/>
      <c r="B21"/>
      <c r="C21"/>
      <c r="D21"/>
      <c r="E21"/>
      <c r="F21"/>
    </row>
    <row r="22" spans="1:6" s="3" customFormat="1" ht="15" customHeight="1" x14ac:dyDescent="0.25">
      <c r="A22" s="16"/>
      <c r="B22"/>
    </row>
    <row r="23" spans="1:6" s="3" customFormat="1" ht="15" customHeight="1" x14ac:dyDescent="0.25">
      <c r="A23" s="16"/>
      <c r="B23"/>
    </row>
    <row r="24" spans="1:6" s="3" customFormat="1" ht="15" customHeight="1" x14ac:dyDescent="0.25">
      <c r="A24" s="16"/>
      <c r="B24"/>
    </row>
    <row r="27" spans="1:6" ht="15" customHeight="1" x14ac:dyDescent="0.25">
      <c r="A27" s="16" t="s">
        <v>216</v>
      </c>
    </row>
    <row r="28" spans="1:6" ht="15" customHeight="1" x14ac:dyDescent="0.25">
      <c r="A28" s="16" t="s">
        <v>217</v>
      </c>
    </row>
    <row r="29" spans="1:6" ht="15" customHeight="1" x14ac:dyDescent="0.25">
      <c r="A29" s="16" t="s">
        <v>218</v>
      </c>
    </row>
    <row r="30" spans="1:6" ht="15" customHeight="1" x14ac:dyDescent="0.25">
      <c r="A30" s="16" t="s">
        <v>226</v>
      </c>
    </row>
    <row r="31" spans="1:6" ht="15" customHeight="1" x14ac:dyDescent="0.25">
      <c r="A31" s="16" t="s">
        <v>227</v>
      </c>
    </row>
    <row r="32" spans="1:6" ht="15" customHeight="1" x14ac:dyDescent="0.25">
      <c r="A32" s="16" t="s">
        <v>219</v>
      </c>
    </row>
    <row r="33" spans="1:1" ht="15" customHeight="1" x14ac:dyDescent="0.25">
      <c r="A33" s="16" t="s">
        <v>351</v>
      </c>
    </row>
    <row r="34" spans="1:1" ht="15" customHeight="1" x14ac:dyDescent="0.25">
      <c r="A34" s="16" t="s">
        <v>364</v>
      </c>
    </row>
    <row r="35" spans="1:1" ht="15" customHeight="1" x14ac:dyDescent="0.25">
      <c r="A35" s="16" t="s">
        <v>220</v>
      </c>
    </row>
    <row r="52" spans="1:1" ht="15" customHeight="1" x14ac:dyDescent="0.25">
      <c r="A52" s="16" t="s">
        <v>221</v>
      </c>
    </row>
    <row r="53" spans="1:1" ht="15" customHeight="1" x14ac:dyDescent="0.25">
      <c r="A53" s="16" t="s">
        <v>225</v>
      </c>
    </row>
    <row r="54" spans="1:1" ht="15" customHeight="1" x14ac:dyDescent="0.25">
      <c r="A54" s="16" t="s">
        <v>261</v>
      </c>
    </row>
    <row r="55" spans="1:1" ht="15" customHeight="1" x14ac:dyDescent="0.25">
      <c r="A55" s="16" t="s">
        <v>327</v>
      </c>
    </row>
    <row r="56" spans="1:1" ht="15" customHeight="1" x14ac:dyDescent="0.25">
      <c r="A56" s="48" t="s">
        <v>357</v>
      </c>
    </row>
    <row r="57" spans="1:1" ht="15" customHeight="1" x14ac:dyDescent="0.25">
      <c r="A57" s="16" t="s">
        <v>215</v>
      </c>
    </row>
    <row r="67" spans="1:6" ht="15" customHeight="1" x14ac:dyDescent="0.25">
      <c r="D67" s="9" t="s">
        <v>78</v>
      </c>
      <c r="E67" s="9" t="s">
        <v>85</v>
      </c>
      <c r="F67" s="9" t="s">
        <v>86</v>
      </c>
    </row>
    <row r="68" spans="1:6" ht="15" customHeight="1" x14ac:dyDescent="0.25">
      <c r="A68" s="16" t="s">
        <v>113</v>
      </c>
      <c r="D68">
        <f ca="1">YEAR(TODAY())-5</f>
        <v>2021</v>
      </c>
      <c r="E68" s="5">
        <v>500</v>
      </c>
      <c r="F68" s="38">
        <v>5000</v>
      </c>
    </row>
    <row r="69" spans="1:6" ht="15" customHeight="1" x14ac:dyDescent="0.25">
      <c r="A69" s="16" t="s">
        <v>222</v>
      </c>
      <c r="D69">
        <f ca="1">YEAR(TODAY())-4</f>
        <v>2022</v>
      </c>
      <c r="E69">
        <v>800</v>
      </c>
      <c r="F69" s="37">
        <v>11200</v>
      </c>
    </row>
    <row r="70" spans="1:6" ht="15" customHeight="1" x14ac:dyDescent="0.25">
      <c r="A70" s="16" t="s">
        <v>223</v>
      </c>
      <c r="D70">
        <f ca="1">YEAR(TODAY())-3</f>
        <v>2023</v>
      </c>
      <c r="E70" s="5">
        <v>1000</v>
      </c>
      <c r="F70" s="38">
        <v>30000</v>
      </c>
    </row>
    <row r="71" spans="1:6" ht="15" customHeight="1" x14ac:dyDescent="0.25">
      <c r="A71" s="16" t="s">
        <v>224</v>
      </c>
      <c r="D71">
        <f ca="1">YEAR(TODAY())-2</f>
        <v>2024</v>
      </c>
      <c r="E71">
        <v>900</v>
      </c>
      <c r="F71" s="37">
        <v>25000</v>
      </c>
    </row>
    <row r="72" spans="1:6" ht="15" customHeight="1" x14ac:dyDescent="0.25">
      <c r="A72" s="16" t="s">
        <v>112</v>
      </c>
      <c r="D72">
        <f ca="1">YEAR(TODAY())-1</f>
        <v>2025</v>
      </c>
      <c r="E72" s="5">
        <v>1000</v>
      </c>
      <c r="F72" s="38">
        <v>5000</v>
      </c>
    </row>
    <row r="73" spans="1:6" ht="15" customHeight="1" x14ac:dyDescent="0.25">
      <c r="D73">
        <f ca="1">YEAR(TODAY())</f>
        <v>2026</v>
      </c>
      <c r="E73">
        <v>1200</v>
      </c>
      <c r="F73" s="37">
        <v>8000</v>
      </c>
    </row>
  </sheetData>
  <hyperlinks>
    <hyperlink ref="A71" r:id="rId1" tooltip="Select to learn about Available chart types in Office from the web"/>
    <hyperlink ref="A70" r:id="rId2" tooltip="Select to learn about creating a combo chart with a secondary axis from the web"/>
    <hyperlink ref="A69" r:id="rId3" tooltip="Select to learn about creating a chart from start to finish from the web"/>
  </hyperlinks>
  <pageMargins left="0.7" right="0.7" top="0.75" bottom="0.75" header="0.3" footer="0.3"/>
  <pageSetup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F61"/>
  <sheetViews>
    <sheetView showGridLines="0" topLeftCell="A53" zoomScaleNormal="100" zoomScalePageLayoutView="125" workbookViewId="0">
      <selection activeCell="C42" sqref="C42"/>
    </sheetView>
  </sheetViews>
  <sheetFormatPr defaultColWidth="8.85546875" defaultRowHeight="15" customHeight="1" x14ac:dyDescent="0.25"/>
  <cols>
    <col min="1" max="1" width="12.7109375" style="16" customWidth="1"/>
    <col min="2" max="2" width="82.85546875" customWidth="1"/>
    <col min="3" max="3" width="13.140625" customWidth="1"/>
    <col min="4" max="4" width="14.85546875" customWidth="1"/>
    <col min="5" max="5" width="13.140625" customWidth="1"/>
    <col min="6" max="6" width="14.85546875" bestFit="1" customWidth="1"/>
  </cols>
  <sheetData>
    <row r="1" spans="1:6" ht="60" customHeight="1" x14ac:dyDescent="0.25">
      <c r="A1" s="16" t="s">
        <v>135</v>
      </c>
    </row>
    <row r="2" spans="1:6" ht="15" customHeight="1" x14ac:dyDescent="0.25">
      <c r="A2" s="16" t="s">
        <v>328</v>
      </c>
    </row>
    <row r="3" spans="1:6" ht="15" customHeight="1" x14ac:dyDescent="0.25">
      <c r="A3" s="16" t="s">
        <v>262</v>
      </c>
      <c r="C3" t="s">
        <v>78</v>
      </c>
      <c r="D3" t="s">
        <v>79</v>
      </c>
      <c r="E3" t="s">
        <v>27</v>
      </c>
      <c r="F3" t="s">
        <v>1</v>
      </c>
    </row>
    <row r="4" spans="1:6" ht="15" customHeight="1" x14ac:dyDescent="0.25">
      <c r="A4" s="16" t="s">
        <v>228</v>
      </c>
      <c r="C4" s="41">
        <f ca="1">TODAY()-57</f>
        <v>46184</v>
      </c>
      <c r="D4" t="s">
        <v>80</v>
      </c>
      <c r="E4" t="s">
        <v>81</v>
      </c>
      <c r="F4" s="39">
        <v>1400</v>
      </c>
    </row>
    <row r="5" spans="1:6" s="3" customFormat="1" ht="15" customHeight="1" x14ac:dyDescent="0.25">
      <c r="A5" s="16" t="s">
        <v>373</v>
      </c>
      <c r="B5"/>
      <c r="C5" s="41">
        <f ca="1">TODAY()-52</f>
        <v>46189</v>
      </c>
      <c r="D5" t="s">
        <v>71</v>
      </c>
      <c r="E5" t="s">
        <v>82</v>
      </c>
      <c r="F5" s="39">
        <v>1010</v>
      </c>
    </row>
    <row r="6" spans="1:6" s="3" customFormat="1" ht="15" customHeight="1" x14ac:dyDescent="0.25">
      <c r="A6" s="16" t="s">
        <v>374</v>
      </c>
      <c r="B6"/>
      <c r="C6" s="41">
        <f ca="1">TODAY()-35</f>
        <v>46206</v>
      </c>
      <c r="D6" t="s">
        <v>80</v>
      </c>
      <c r="E6" t="s">
        <v>81</v>
      </c>
      <c r="F6" s="39">
        <v>750</v>
      </c>
    </row>
    <row r="7" spans="1:6" s="3" customFormat="1" ht="15" customHeight="1" x14ac:dyDescent="0.25">
      <c r="A7" s="16" t="s">
        <v>376</v>
      </c>
      <c r="B7"/>
      <c r="C7" s="41">
        <f ca="1">TODAY()-31</f>
        <v>46210</v>
      </c>
      <c r="D7" t="s">
        <v>71</v>
      </c>
      <c r="E7" t="s">
        <v>83</v>
      </c>
      <c r="F7" s="39">
        <v>510</v>
      </c>
    </row>
    <row r="8" spans="1:6" s="3" customFormat="1" ht="15" customHeight="1" x14ac:dyDescent="0.25">
      <c r="A8" s="16" t="s">
        <v>118</v>
      </c>
      <c r="B8"/>
      <c r="C8" s="41">
        <f ca="1">TODAY()-11</f>
        <v>46230</v>
      </c>
      <c r="D8" t="s">
        <v>66</v>
      </c>
      <c r="E8" t="s">
        <v>83</v>
      </c>
      <c r="F8" s="39">
        <v>1600</v>
      </c>
    </row>
    <row r="9" spans="1:6" s="3" customFormat="1" ht="15" customHeight="1" x14ac:dyDescent="0.25">
      <c r="A9" s="16"/>
      <c r="B9"/>
      <c r="C9" s="41">
        <f ca="1">TODAY()</f>
        <v>46241</v>
      </c>
      <c r="D9" t="s">
        <v>74</v>
      </c>
      <c r="E9" t="s">
        <v>82</v>
      </c>
      <c r="F9" s="39">
        <v>680</v>
      </c>
    </row>
    <row r="10" spans="1:6" s="3" customFormat="1" ht="15" customHeight="1" x14ac:dyDescent="0.25">
      <c r="A10" s="16"/>
      <c r="B10"/>
      <c r="C10"/>
      <c r="D10"/>
      <c r="E10"/>
      <c r="F10"/>
    </row>
    <row r="11" spans="1:6" s="3" customFormat="1" ht="15" customHeight="1" x14ac:dyDescent="0.25">
      <c r="A11" s="16"/>
      <c r="B11"/>
      <c r="E11" s="12" t="s">
        <v>76</v>
      </c>
      <c r="F11" t="s">
        <v>87</v>
      </c>
    </row>
    <row r="12" spans="1:6" s="3" customFormat="1" ht="15" customHeight="1" x14ac:dyDescent="0.25">
      <c r="A12" s="16"/>
      <c r="B12"/>
      <c r="E12" s="3" t="s">
        <v>80</v>
      </c>
      <c r="F12" s="40">
        <v>2150</v>
      </c>
    </row>
    <row r="13" spans="1:6" s="3" customFormat="1" ht="15" customHeight="1" x14ac:dyDescent="0.25">
      <c r="A13" s="16"/>
      <c r="B13"/>
      <c r="E13" s="3" t="s">
        <v>74</v>
      </c>
      <c r="F13" s="40">
        <v>680</v>
      </c>
    </row>
    <row r="14" spans="1:6" s="3" customFormat="1" ht="15" customHeight="1" x14ac:dyDescent="0.25">
      <c r="A14" s="16"/>
      <c r="B14"/>
      <c r="E14" s="3" t="s">
        <v>66</v>
      </c>
      <c r="F14" s="40">
        <v>1600</v>
      </c>
    </row>
    <row r="15" spans="1:6" s="3" customFormat="1" ht="15" customHeight="1" x14ac:dyDescent="0.25">
      <c r="A15" s="16"/>
      <c r="B15"/>
      <c r="E15" s="3" t="s">
        <v>71</v>
      </c>
      <c r="F15" s="40">
        <v>1520</v>
      </c>
    </row>
    <row r="16" spans="1:6" s="3" customFormat="1" ht="15" customHeight="1" x14ac:dyDescent="0.25">
      <c r="A16" s="16"/>
      <c r="B16"/>
      <c r="C16"/>
      <c r="D16"/>
      <c r="E16" s="3" t="s">
        <v>77</v>
      </c>
      <c r="F16" s="40">
        <v>5950</v>
      </c>
    </row>
    <row r="17" spans="1:6" s="3" customFormat="1" ht="15" customHeight="1" x14ac:dyDescent="0.25">
      <c r="A17" s="16"/>
      <c r="B17"/>
      <c r="C17"/>
      <c r="D17"/>
      <c r="E17"/>
      <c r="F17"/>
    </row>
    <row r="18" spans="1:6" s="3" customFormat="1" ht="15" customHeight="1" x14ac:dyDescent="0.25">
      <c r="A18" s="16"/>
      <c r="B18"/>
      <c r="C18"/>
      <c r="D18"/>
      <c r="E18"/>
      <c r="F18"/>
    </row>
    <row r="19" spans="1:6" s="3" customFormat="1" ht="15" customHeight="1" x14ac:dyDescent="0.25">
      <c r="A19" s="16"/>
      <c r="B19"/>
      <c r="C19"/>
      <c r="D19"/>
      <c r="E19"/>
      <c r="F19"/>
    </row>
    <row r="20" spans="1:6" s="3" customFormat="1" ht="15" customHeight="1" x14ac:dyDescent="0.25">
      <c r="A20" s="16"/>
      <c r="B20"/>
      <c r="C20"/>
      <c r="D20"/>
      <c r="E20"/>
      <c r="F20"/>
    </row>
    <row r="21" spans="1:6" s="3" customFormat="1" ht="15" customHeight="1" x14ac:dyDescent="0.25">
      <c r="A21" s="16"/>
      <c r="B21"/>
      <c r="C21"/>
      <c r="D21"/>
      <c r="E21" t="s">
        <v>375</v>
      </c>
      <c r="F21"/>
    </row>
    <row r="22" spans="1:6" s="3" customFormat="1" ht="15" customHeight="1" x14ac:dyDescent="0.25">
      <c r="A22" s="16"/>
      <c r="B22"/>
      <c r="C22"/>
      <c r="D22"/>
      <c r="E22"/>
    </row>
    <row r="23" spans="1:6" s="3" customFormat="1" ht="15" customHeight="1" x14ac:dyDescent="0.25">
      <c r="A23" s="16"/>
      <c r="B23"/>
      <c r="C23"/>
      <c r="D23"/>
      <c r="E23"/>
    </row>
    <row r="24" spans="1:6" s="3" customFormat="1" ht="15" customHeight="1" x14ac:dyDescent="0.25">
      <c r="A24" s="16"/>
      <c r="B24"/>
      <c r="C24"/>
      <c r="D24"/>
      <c r="E24"/>
    </row>
    <row r="27" spans="1:6" ht="15" customHeight="1" x14ac:dyDescent="0.25">
      <c r="A27" s="16" t="s">
        <v>229</v>
      </c>
    </row>
    <row r="28" spans="1:6" ht="15" customHeight="1" x14ac:dyDescent="0.25">
      <c r="A28" s="16" t="s">
        <v>230</v>
      </c>
    </row>
    <row r="29" spans="1:6" ht="15" customHeight="1" x14ac:dyDescent="0.25">
      <c r="A29" s="16" t="s">
        <v>329</v>
      </c>
    </row>
    <row r="30" spans="1:6" ht="15" customHeight="1" x14ac:dyDescent="0.25">
      <c r="A30" s="16" t="s">
        <v>356</v>
      </c>
    </row>
    <row r="31" spans="1:6" ht="15" customHeight="1" x14ac:dyDescent="0.25">
      <c r="A31" s="16" t="s">
        <v>340</v>
      </c>
    </row>
    <row r="32" spans="1:6" ht="15" customHeight="1" x14ac:dyDescent="0.25">
      <c r="A32" s="16" t="s">
        <v>358</v>
      </c>
    </row>
    <row r="33" spans="1:6" ht="15" customHeight="1" x14ac:dyDescent="0.25">
      <c r="A33" s="48" t="s">
        <v>359</v>
      </c>
    </row>
    <row r="34" spans="1:6" ht="15" customHeight="1" x14ac:dyDescent="0.25">
      <c r="A34" s="48" t="s">
        <v>360</v>
      </c>
      <c r="C34" t="s">
        <v>78</v>
      </c>
      <c r="D34" t="s">
        <v>79</v>
      </c>
      <c r="E34" t="s">
        <v>27</v>
      </c>
      <c r="F34" t="s">
        <v>1</v>
      </c>
    </row>
    <row r="35" spans="1:6" ht="15" customHeight="1" x14ac:dyDescent="0.25">
      <c r="A35" s="16" t="s">
        <v>361</v>
      </c>
      <c r="C35" s="41">
        <f ca="1">TODAY()-57</f>
        <v>46184</v>
      </c>
      <c r="D35" t="s">
        <v>80</v>
      </c>
      <c r="E35" t="s">
        <v>81</v>
      </c>
      <c r="F35" s="39">
        <v>1400</v>
      </c>
    </row>
    <row r="36" spans="1:6" ht="15" customHeight="1" x14ac:dyDescent="0.25">
      <c r="A36" s="16" t="s">
        <v>231</v>
      </c>
      <c r="C36" s="41">
        <f ca="1">TODAY()-52</f>
        <v>46189</v>
      </c>
      <c r="D36" t="s">
        <v>71</v>
      </c>
      <c r="E36" t="s">
        <v>82</v>
      </c>
      <c r="F36" s="39">
        <v>1010</v>
      </c>
    </row>
    <row r="37" spans="1:6" ht="15" customHeight="1" x14ac:dyDescent="0.25">
      <c r="C37" s="41">
        <f ca="1">TODAY()-35</f>
        <v>46206</v>
      </c>
      <c r="D37" t="s">
        <v>80</v>
      </c>
      <c r="E37" t="s">
        <v>81</v>
      </c>
      <c r="F37" s="39">
        <v>750</v>
      </c>
    </row>
    <row r="38" spans="1:6" ht="15" customHeight="1" x14ac:dyDescent="0.25">
      <c r="C38" s="41">
        <f ca="1">TODAY()-31</f>
        <v>46210</v>
      </c>
      <c r="D38" t="s">
        <v>71</v>
      </c>
      <c r="E38" t="s">
        <v>83</v>
      </c>
      <c r="F38" s="39">
        <v>510</v>
      </c>
    </row>
    <row r="39" spans="1:6" ht="15" customHeight="1" x14ac:dyDescent="0.25">
      <c r="C39" s="41">
        <f ca="1">TODAY()-11</f>
        <v>46230</v>
      </c>
      <c r="D39" t="s">
        <v>66</v>
      </c>
      <c r="E39" t="s">
        <v>83</v>
      </c>
      <c r="F39" s="39">
        <v>1600</v>
      </c>
    </row>
    <row r="40" spans="1:6" ht="15" customHeight="1" x14ac:dyDescent="0.25">
      <c r="C40" s="41">
        <f ca="1">TODAY()</f>
        <v>46241</v>
      </c>
      <c r="D40" t="s">
        <v>74</v>
      </c>
      <c r="E40" t="s">
        <v>82</v>
      </c>
      <c r="F40" s="39">
        <v>680</v>
      </c>
    </row>
    <row r="42" spans="1:6" ht="15" customHeight="1" x14ac:dyDescent="0.25">
      <c r="C42" s="12" t="s">
        <v>76</v>
      </c>
      <c r="D42" t="s">
        <v>87</v>
      </c>
    </row>
    <row r="43" spans="1:6" ht="15" customHeight="1" x14ac:dyDescent="0.25">
      <c r="C43" s="3" t="s">
        <v>81</v>
      </c>
      <c r="D43" s="53">
        <v>2150</v>
      </c>
    </row>
    <row r="44" spans="1:6" ht="15" customHeight="1" x14ac:dyDescent="0.25">
      <c r="C44" s="3" t="s">
        <v>83</v>
      </c>
      <c r="D44" s="53">
        <v>2110</v>
      </c>
    </row>
    <row r="45" spans="1:6" ht="15" customHeight="1" x14ac:dyDescent="0.25">
      <c r="C45" s="3" t="s">
        <v>82</v>
      </c>
      <c r="D45" s="53">
        <v>1690</v>
      </c>
    </row>
    <row r="46" spans="1:6" ht="15" customHeight="1" x14ac:dyDescent="0.25">
      <c r="C46" s="3" t="s">
        <v>77</v>
      </c>
      <c r="D46" s="53">
        <v>5950</v>
      </c>
    </row>
    <row r="58" spans="1:1" ht="15" customHeight="1" x14ac:dyDescent="0.25">
      <c r="A58" s="16" t="s">
        <v>113</v>
      </c>
    </row>
    <row r="59" spans="1:1" ht="15" customHeight="1" x14ac:dyDescent="0.25">
      <c r="A59" s="16" t="s">
        <v>232</v>
      </c>
    </row>
    <row r="60" spans="1:1" ht="15" customHeight="1" x14ac:dyDescent="0.25">
      <c r="A60" s="16" t="s">
        <v>233</v>
      </c>
    </row>
    <row r="61" spans="1:1" ht="15" customHeight="1" x14ac:dyDescent="0.25">
      <c r="A61" s="16" t="s">
        <v>112</v>
      </c>
    </row>
  </sheetData>
  <hyperlinks>
    <hyperlink ref="A60" r:id="rId3" tooltip="Select to learn about using the Field List to arrange fields in a PivotTable from the web"/>
    <hyperlink ref="A59" r:id="rId4" tooltip="Select to learn creating a PivotTable to analyze worksheet data from the web"/>
  </hyperlinks>
  <pageMargins left="0.7" right="0.7" top="0.75" bottom="0.75" header="0.3" footer="0.3"/>
  <pageSetup orientation="portrait" r:id="rId5"/>
  <drawing r:id="rId6"/>
  <tableParts count="2">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7"/>
  <sheetViews>
    <sheetView showGridLines="0" zoomScaleNormal="100" workbookViewId="0"/>
  </sheetViews>
  <sheetFormatPr defaultColWidth="8.85546875" defaultRowHeight="15" customHeight="1" x14ac:dyDescent="0.25"/>
  <cols>
    <col min="1" max="1" width="8.85546875" style="16"/>
    <col min="2" max="2" width="95.140625" customWidth="1"/>
  </cols>
  <sheetData>
    <row r="1" spans="1:2" ht="60" customHeight="1" x14ac:dyDescent="0.25">
      <c r="A1" s="16" t="s">
        <v>121</v>
      </c>
    </row>
    <row r="2" spans="1:2" s="13" customFormat="1" ht="15" customHeight="1" x14ac:dyDescent="0.3">
      <c r="A2" s="16" t="s">
        <v>263</v>
      </c>
      <c r="B2"/>
    </row>
    <row r="3" spans="1:2" s="13" customFormat="1" ht="15" customHeight="1" x14ac:dyDescent="0.3">
      <c r="A3" s="16" t="s">
        <v>331</v>
      </c>
      <c r="B3"/>
    </row>
    <row r="4" spans="1:2" s="14" customFormat="1" ht="15" customHeight="1" x14ac:dyDescent="0.7">
      <c r="A4" s="16" t="s">
        <v>349</v>
      </c>
      <c r="B4"/>
    </row>
    <row r="5" spans="1:2" s="15" customFormat="1" ht="15" customHeight="1" x14ac:dyDescent="0.25">
      <c r="A5" s="16" t="s">
        <v>350</v>
      </c>
      <c r="B5"/>
    </row>
    <row r="6" spans="1:2" s="15" customFormat="1" ht="15" customHeight="1" x14ac:dyDescent="0.25">
      <c r="A6" s="48" t="s">
        <v>352</v>
      </c>
      <c r="B6"/>
    </row>
    <row r="7" spans="1:2" ht="15" customHeight="1" x14ac:dyDescent="0.25">
      <c r="A7"/>
    </row>
  </sheetData>
  <hyperlinks>
    <hyperlink ref="A4" r:id="rId1" tooltip="Select to learn more about LinkedIn Learning" display="http://go.microsoft.com/fwlink/?LinkId=846285"/>
    <hyperlink ref="A5" r:id="rId2" tooltip="Select to learn more about Community" display="http://go.microsoft.com/fwlink/?LinkId=844969"/>
    <hyperlink ref="A6" r:id="rId3" tooltip="Select to learn more about what else is new" display="http://go.microsoft.com/fwlink/?LinkId=846286"/>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2BD9D9-5391-4370-B039-343825009DDA}">
  <ds:schemaRefs>
    <ds:schemaRef ds:uri="http://purl.org/dc/elements/1.1/"/>
    <ds:schemaRef ds:uri="http://schemas.microsoft.com/office/2006/metadata/properties"/>
    <ds:schemaRef ds:uri="230e9df3-be65-4c73-a93b-d1236ebd677e"/>
    <ds:schemaRef ds:uri="http://purl.org/dc/terms/"/>
    <ds:schemaRef ds:uri="http://schemas.microsoft.com/sharepoint/v3"/>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71af3243-3dd4-4a8d-8c0d-dd76da1f02a5"/>
    <ds:schemaRef ds:uri="http://www.w3.org/XML/1998/namespace"/>
    <ds:schemaRef ds:uri="http://purl.org/dc/dcmitype/"/>
  </ds:schemaRefs>
</ds:datastoreItem>
</file>

<file path=customXml/itemProps2.xml><?xml version="1.0" encoding="utf-8"?>
<ds:datastoreItem xmlns:ds="http://schemas.openxmlformats.org/officeDocument/2006/customXml" ds:itemID="{4315E79D-C406-42D4-908D-28C047A7AC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8AB08A-59C1-444E-AE1E-1DBAE428CF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Start</vt:lpstr>
      <vt:lpstr>1. Add</vt:lpstr>
      <vt:lpstr>2. Fill</vt:lpstr>
      <vt:lpstr>3. Split</vt:lpstr>
      <vt:lpstr>4. Transpose</vt:lpstr>
      <vt:lpstr>5. Sort &amp; filter</vt:lpstr>
      <vt:lpstr>6. Tables</vt:lpstr>
      <vt:lpstr>7. Drop-downs</vt:lpstr>
      <vt:lpstr>8. Analyze</vt:lpstr>
      <vt:lpstr>9. Charts</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2026-08-07T23:16:34Z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