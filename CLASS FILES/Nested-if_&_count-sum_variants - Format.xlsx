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xWindow="0" yWindow="0" windowWidth="20490" windowHeight="7650" tabRatio="500" activeTab="1"/>
  </bookViews>
  <sheets>
    <sheet name="Sales_Data" sheetId="1" r:id="rId1"/>
    <sheet name="Practice_Tasks" sheetId="3" r:id="rId2"/>
    <sheet name="Quick_Reference" sheetId="4" r:id="rId3"/>
  </sheets>
  <definedNames>
    <definedName name="Region">Practice_Tasks!$B:$B</definedName>
    <definedName name="Sales">Practice_Tasks!$E:$E</definedName>
    <definedName name="Salesperson">Practice_Tasks!$A:$A</definedName>
    <definedName name="Status">Practice_Tasks!$H:$H</definedName>
    <definedName name="Zone">Practice_Tasks!$B:$B</definedName>
  </definedNames>
  <calcPr calcId="162913"/>
  <fileRecoveryPr repairLoad="1"/>
</workbook>
</file>

<file path=xl/calcChain.xml><?xml version="1.0" encoding="utf-8"?>
<calcChain xmlns="http://schemas.openxmlformats.org/spreadsheetml/2006/main">
  <c r="R28" i="3" l="1"/>
  <c r="R27" i="3"/>
  <c r="R26" i="3"/>
  <c r="R25" i="3" l="1"/>
  <c r="R24" i="3"/>
  <c r="R23" i="3"/>
  <c r="R22" i="3"/>
  <c r="R21" i="3"/>
  <c r="R20" i="3"/>
  <c r="R19" i="3"/>
  <c r="R18" i="3"/>
  <c r="R17" i="3"/>
  <c r="R16" i="3"/>
  <c r="R15" i="3"/>
  <c r="R14" i="3"/>
  <c r="R13" i="3"/>
  <c r="K2" i="3"/>
  <c r="C2" i="3"/>
  <c r="F2" i="3"/>
  <c r="I2" i="3"/>
  <c r="G2" i="3"/>
  <c r="R9" i="3" l="1"/>
  <c r="R10" i="3"/>
  <c r="R1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R12" i="3"/>
</calcChain>
</file>

<file path=xl/sharedStrings.xml><?xml version="1.0" encoding="utf-8"?>
<sst xmlns="http://schemas.openxmlformats.org/spreadsheetml/2006/main" count="395" uniqueCount="162">
  <si>
    <t>📊  SALES PERFORMANCE DATA — FY 2024-25</t>
  </si>
  <si>
    <t>Salesperson</t>
  </si>
  <si>
    <t>Region</t>
  </si>
  <si>
    <t>Category</t>
  </si>
  <si>
    <t>Sales (₹)</t>
  </si>
  <si>
    <t>Status</t>
  </si>
  <si>
    <t>Aarav Shah</t>
  </si>
  <si>
    <t>North</t>
  </si>
  <si>
    <t>Electronics</t>
  </si>
  <si>
    <t>Completed</t>
  </si>
  <si>
    <t>Priya Mehta</t>
  </si>
  <si>
    <t>South</t>
  </si>
  <si>
    <t>Clothing</t>
  </si>
  <si>
    <t>Pending</t>
  </si>
  <si>
    <t>Rahul Verma</t>
  </si>
  <si>
    <t>East</t>
  </si>
  <si>
    <t>Furniture</t>
  </si>
  <si>
    <t>Cancelled</t>
  </si>
  <si>
    <t>Sneha Patil</t>
  </si>
  <si>
    <t>West</t>
  </si>
  <si>
    <t>Groceries</t>
  </si>
  <si>
    <t>Karan Joshi</t>
  </si>
  <si>
    <t>Central</t>
  </si>
  <si>
    <t>Stationery</t>
  </si>
  <si>
    <t>Divya Nair</t>
  </si>
  <si>
    <t>Amit Yadav</t>
  </si>
  <si>
    <t>Neha Gupta</t>
  </si>
  <si>
    <t>Rohan Kapoor</t>
  </si>
  <si>
    <t>Pooja Tiwari</t>
  </si>
  <si>
    <t>Vijay Reddy</t>
  </si>
  <si>
    <t>Ananya Singh</t>
  </si>
  <si>
    <t>Suresh Kumar</t>
  </si>
  <si>
    <t>Meera Iyer</t>
  </si>
  <si>
    <t>Deepak Patel</t>
  </si>
  <si>
    <t>Kavita Sharma</t>
  </si>
  <si>
    <t>Arun Bose</t>
  </si>
  <si>
    <t>Ritu Saxena</t>
  </si>
  <si>
    <t>Manish Dubey</t>
  </si>
  <si>
    <t>Swati Jain</t>
  </si>
  <si>
    <t>Harish Rao</t>
  </si>
  <si>
    <t>Preeti Desai</t>
  </si>
  <si>
    <t>Sunil Mishra</t>
  </si>
  <si>
    <t>Anjali Sinha</t>
  </si>
  <si>
    <t>Tushar More</t>
  </si>
  <si>
    <t>Leela Nambiar</t>
  </si>
  <si>
    <t>Aditya Roy</t>
  </si>
  <si>
    <t>Sunita Choudhary</t>
  </si>
  <si>
    <t>Vivek Menon</t>
  </si>
  <si>
    <t>Bhavna Pillai</t>
  </si>
  <si>
    <t>Units</t>
  </si>
  <si>
    <t>📝  PRACTICE TASKS — DATA SCIENCE TRAINING</t>
  </si>
  <si>
    <t>Instructions: Write your answers in Column E (Answer column). Refer to Sales_Data sheet for data.</t>
  </si>
  <si>
    <t>#</t>
  </si>
  <si>
    <t>Topic</t>
  </si>
  <si>
    <t>Task</t>
  </si>
  <si>
    <t>Expected Output</t>
  </si>
  <si>
    <t>Your Answer</t>
  </si>
  <si>
    <t>IF</t>
  </si>
  <si>
    <t>In column F of Sales_Data, write an IF formula to label each sale as 'High' if Sales ≥ ₹60,000, else 'Low'.</t>
  </si>
  <si>
    <t>High / Low for each row</t>
  </si>
  <si>
    <t>Write an IF formula that returns 'Achieved' if Status is 'Completed', otherwise 'Not Achieved'.</t>
  </si>
  <si>
    <t>Achieved / Not Achieved</t>
  </si>
  <si>
    <r>
      <rPr>
        <b/>
        <sz val="11"/>
        <color theme="1"/>
        <rFont val="Calibri"/>
        <family val="2"/>
      </rPr>
      <t>IF</t>
    </r>
    <r>
      <rPr>
        <sz val="11"/>
        <color theme="1"/>
        <rFont val="Calibri"/>
        <family val="2"/>
      </rPr>
      <t xml:space="preserve"> → Excel evaluates condition directly → no quotes</t>
    </r>
  </si>
  <si>
    <t>Nested IF</t>
  </si>
  <si>
    <t>Create a 3-level grade: ≥75000 = 'A', ≥50000 = 'B', else 'C'.</t>
  </si>
  <si>
    <t>A / B / C per row</t>
  </si>
  <si>
    <r>
      <rPr>
        <sz val="11"/>
        <color theme="1"/>
        <rFont val="Calibri"/>
        <family val="2"/>
      </rPr>
      <t>D3&gt;=50000</t>
    </r>
  </si>
  <si>
    <t>Classify Region: North→'Zone 1', South→'Zone 2', East→'Zone 3', others→'Zone 4'.</t>
  </si>
  <si>
    <t>Zone 1–4 per row</t>
  </si>
  <si>
    <t>IFERROR</t>
  </si>
  <si>
    <t>Use IFERROR to divide Sales  by Units. If sales is blank/zero, show 'N/A'.</t>
  </si>
  <si>
    <t>Numeric or N/A</t>
  </si>
  <si>
    <r>
      <rPr>
        <b/>
        <sz val="11"/>
        <color theme="1"/>
        <rFont val="Calibri"/>
        <family val="2"/>
      </rPr>
      <t>SUMIFS / COUNTIFS</t>
    </r>
    <r>
      <rPr>
        <sz val="11"/>
        <color theme="1"/>
        <rFont val="Calibri"/>
        <family val="2"/>
      </rPr>
      <t xml:space="preserve"> → condition is given as </t>
    </r>
    <r>
      <rPr>
        <b/>
        <sz val="11"/>
        <color theme="1"/>
        <rFont val="Calibri"/>
        <family val="2"/>
      </rPr>
      <t>text instruction</t>
    </r>
    <r>
      <rPr>
        <sz val="11"/>
        <color theme="1"/>
        <rFont val="Calibri"/>
        <family val="2"/>
      </rPr>
      <t xml:space="preserve"> → use quotes</t>
    </r>
  </si>
  <si>
    <t>COUNT</t>
  </si>
  <si>
    <t>Count how many rows have a numeric value in the Sales (₹) column.</t>
  </si>
  <si>
    <t>57  (3 blanks)</t>
  </si>
  <si>
    <r>
      <rPr>
        <sz val="11"/>
        <color theme="1"/>
        <rFont val="Calibri"/>
        <family val="2"/>
      </rPr>
      <t>"&gt;=50000"</t>
    </r>
  </si>
  <si>
    <t>COUNTA</t>
  </si>
  <si>
    <t>Count the total number of non-empty cells in the Salesperson column.</t>
  </si>
  <si>
    <t>30</t>
  </si>
  <si>
    <t>COUNTBLANK</t>
  </si>
  <si>
    <t>Find how many Sales entries are blank/missing.</t>
  </si>
  <si>
    <t>3</t>
  </si>
  <si>
    <r>
      <rPr>
        <sz val="11"/>
        <color theme="1"/>
        <rFont val="Calibri"/>
        <family val="2"/>
      </rPr>
      <t xml:space="preserve">👉 </t>
    </r>
    <r>
      <rPr>
        <b/>
        <sz val="11"/>
        <color theme="1"/>
        <rFont val="Calibri"/>
        <family val="2"/>
      </rPr>
      <t>Rule:</t>
    </r>
  </si>
  <si>
    <t>COUNTIF</t>
  </si>
  <si>
    <t>Count how many orders have Status = 'Completed'.</t>
  </si>
  <si>
    <t>~21</t>
  </si>
  <si>
    <t>Count how many salespeople are in the 'West' region.</t>
  </si>
  <si>
    <t>6</t>
  </si>
  <si>
    <r>
      <rPr>
        <sz val="11"/>
        <color theme="1"/>
        <rFont val="Calibri"/>
        <family val="2"/>
      </rPr>
      <t>Direct logic → no quotes</t>
    </r>
  </si>
  <si>
    <t>Count orders where Sales &gt; ₹70,000.</t>
  </si>
  <si>
    <t>Varies</t>
  </si>
  <si>
    <t>Count how many transactions belong to 'Furniture' category.</t>
  </si>
  <si>
    <r>
      <rPr>
        <sz val="11"/>
        <color theme="1"/>
        <rFont val="Calibri"/>
        <family val="2"/>
      </rPr>
      <t>Criteria functions → quotes needed</t>
    </r>
  </si>
  <si>
    <t>COUNTIFS</t>
  </si>
  <si>
    <t>Count orders that are 'Completed' AND belong to 'Clothing' category.</t>
  </si>
  <si>
    <t>Count orders from the 'South' region with Sales &gt; ₹40,000.</t>
  </si>
  <si>
    <t>Count 'Cancelled' orders in the 'Electronics' category.</t>
  </si>
  <si>
    <t>SUMIF</t>
  </si>
  <si>
    <t>Calculate total sales for all 'Completed' orders.</t>
  </si>
  <si>
    <t>Large ₹ value</t>
  </si>
  <si>
    <t>Find total sales for the 'Central' region.</t>
  </si>
  <si>
    <t>Sum for Central</t>
  </si>
  <si>
    <t>Find total sales where Category = 'Groceries'.</t>
  </si>
  <si>
    <t>Sum for Groceries</t>
  </si>
  <si>
    <t>SUMIFS</t>
  </si>
  <si>
    <t>Total sales that are 'Completed' AND in the 'North' region.</t>
  </si>
  <si>
    <t>₹ total</t>
  </si>
  <si>
    <t>Total sales for 'Electronics' with Status = 'Completed'.</t>
  </si>
  <si>
    <t>Total sales in 'West' region where Sales is between ₹30,000 and ₹80,000.</t>
  </si>
  <si>
    <t>Total sales for 'Furniture' category in 'East' region with Status = 'Completed'.</t>
  </si>
  <si>
    <t>Mixed</t>
  </si>
  <si>
    <t>Use SUMIF to find average sales per region for 'Completed' orders. (SUMIF ÷ COUNTIFS)</t>
  </si>
  <si>
    <t>₹ average</t>
  </si>
  <si>
    <t>Count how many 'High' grade sales (≥60000) are 'Completed'. (Combine IF logic with COUNTIFS)</t>
  </si>
  <si>
    <t>Count</t>
  </si>
  <si>
    <t>Find total revenue lost from 'Cancelled' orders using SUMIF.</t>
  </si>
  <si>
    <t>₹ total cancelled</t>
  </si>
  <si>
    <t>📖  QUICK REFERENCE CARD — EXCEL FUNCTIONS FOR DATA SCIENCE</t>
  </si>
  <si>
    <t>Function</t>
  </si>
  <si>
    <t>Syntax</t>
  </si>
  <si>
    <t>Example</t>
  </si>
  <si>
    <t>Notes</t>
  </si>
  <si>
    <t xml:space="preserve"> =IF(condition, val_if_true, val_if_false)</t>
  </si>
  <si>
    <t xml:space="preserve"> =IF(D3&gt;=50000,"High","Low")</t>
  </si>
  <si>
    <t>Returns one of two values based on condition</t>
  </si>
  <si>
    <t xml:space="preserve"> =IF(C1,V1,IF(C2,V2,V3))</t>
  </si>
  <si>
    <t xml:space="preserve"> =IF(D3&gt;=75000,"A",IF(D3&gt;=50000,"B","C"))</t>
  </si>
  <si>
    <t>Chain multiple IF for 3+ outcomes</t>
  </si>
  <si>
    <t xml:space="preserve"> =IFERROR(formula, value_if_error)</t>
  </si>
  <si>
    <t xml:space="preserve"> =IFERROR(D3/E3,"Error")</t>
  </si>
  <si>
    <t>Catches DIV/0, N/A, VALUE errors etc.</t>
  </si>
  <si>
    <t xml:space="preserve"> =COUNT(range)</t>
  </si>
  <si>
    <t xml:space="preserve"> =COUNT(D3:D32)</t>
  </si>
  <si>
    <t>Counts numeric cells only</t>
  </si>
  <si>
    <t xml:space="preserve"> =COUNTA(range)</t>
  </si>
  <si>
    <t xml:space="preserve"> =COUNTA(A3:A32)</t>
  </si>
  <si>
    <t>Counts all non-empty cells (any type)</t>
  </si>
  <si>
    <t xml:space="preserve"> =COUNTBLANK(range)</t>
  </si>
  <si>
    <t xml:space="preserve"> =COUNTBLANK(D3:D32)</t>
  </si>
  <si>
    <t>Counts empty/blank cells</t>
  </si>
  <si>
    <t xml:space="preserve"> =COUNTIF(range, criteria)</t>
  </si>
  <si>
    <t xml:space="preserve"> =COUNTIF(E3:E32,"Completed")</t>
  </si>
  <si>
    <t>Use wildcards: "North*", "&gt;50000"</t>
  </si>
  <si>
    <t xml:space="preserve"> =COUNTIFS(range1, crit1, range2, crit2, ...)</t>
  </si>
  <si>
    <t xml:space="preserve"> =COUNTIFS(E3:E32,"Completed",B3:B32,"North")</t>
  </si>
  <si>
    <t>Multiple conditions; all must be TRUE (AND)</t>
  </si>
  <si>
    <t xml:space="preserve"> =SUMIF(range, criteria, sum_range)</t>
  </si>
  <si>
    <t xml:space="preserve"> =SUMIF(B3:B32,"North",D3:D32)</t>
  </si>
  <si>
    <t>Sum where ONE condition is met</t>
  </si>
  <si>
    <t xml:space="preserve"> =SUMIFS(sum_range, range1, crit1, range2, crit2, ...)</t>
  </si>
  <si>
    <t xml:space="preserve"> =SUMIFS(D3:D32,E3:E32,"Completed",B3:B32,"North")</t>
  </si>
  <si>
    <t>Sum where MULTIPLE conditions are met</t>
  </si>
  <si>
    <t>Grade</t>
  </si>
  <si>
    <t>Lable</t>
  </si>
  <si>
    <t>Zone</t>
  </si>
  <si>
    <t>If Error</t>
  </si>
  <si>
    <t>"=IF(Sales&gt;=60000,"High","Low")</t>
  </si>
  <si>
    <t>"=IF(Status = "Completed","Achieved","Not Achieved")</t>
  </si>
  <si>
    <t>"=IF(Sales &gt;= 75000, "A", IF(Sales&gt;= 50000, "B", "C"))</t>
  </si>
  <si>
    <t>"=IF(Region="North","Zone 1",IF(Region="South","Zone 2",IF(Region="East","Zone 3","Zone  4")))</t>
  </si>
  <si>
    <t>"=IFERROR(E2/J2,"N/A")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</si>
</sst>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"/>
  </numFmts>
  <fonts count="18" x14ac:knownFonts="1">
    <font>
      <sz val="11"/>
      <color theme="1"/>
      <name val="Calibri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9"/>
      <color rgb="FFC00000"/>
      <name val="Courier New"/>
      <family val="3"/>
    </font>
    <font>
      <i/>
      <sz val="9.5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C00000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sz val="9.5"/>
      <name val="Arial"/>
      <family val="2"/>
    </font>
    <font>
      <b/>
      <sz val="11"/>
      <color theme="1"/>
      <name val="Calibri"/>
      <family val="2"/>
    </font>
    <font>
      <b/>
      <sz val="10"/>
      <color rgb="FF843C0C"/>
      <name val="Arial"/>
      <family val="2"/>
    </font>
    <font>
      <b/>
      <sz val="10"/>
      <color rgb="FF4E1130"/>
      <name val="Arial"/>
      <family val="2"/>
    </font>
    <font>
      <b/>
      <sz val="10"/>
      <color rgb="FF203764"/>
      <name val="Arial"/>
      <family val="2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03764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FFDE7"/>
      </patternFill>
    </fill>
    <fill>
      <patternFill patternType="solid">
        <fgColor rgb="FFFFF2CC"/>
        <bgColor rgb="FFFBE5D6"/>
      </patternFill>
    </fill>
    <fill>
      <patternFill patternType="solid">
        <fgColor rgb="FFFFE0E0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DEEAF1"/>
        <bgColor rgb="FFD6E4F0"/>
      </patternFill>
    </fill>
    <fill>
      <patternFill patternType="solid">
        <fgColor rgb="FFEAD1DC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FBE5D6"/>
        <bgColor rgb="FFFCE4D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0" fillId="12" borderId="1" xfId="0" applyFill="1" applyBorder="1" applyAlignment="1"/>
    <xf numFmtId="0" fontId="12" fillId="8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indent="1"/>
    </xf>
    <xf numFmtId="0" fontId="1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3" xfId="0" applyBorder="1"/>
    <xf numFmtId="0" fontId="11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4" fontId="0" fillId="12" borderId="1" xfId="0" applyNumberFormat="1" applyFill="1" applyBorder="1" applyAlignment="1"/>
    <xf numFmtId="0" fontId="13" fillId="0" borderId="3" xfId="0" applyFont="1" applyBorder="1" applyAlignment="1">
      <alignment horizontal="left" indent="1"/>
    </xf>
    <xf numFmtId="0" fontId="11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0" borderId="4" xfId="0" applyBorder="1"/>
    <xf numFmtId="0" fontId="11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6" fillId="7" borderId="0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7030A0"/>
      <rgbColor rgb="00FFFDE7"/>
      <rgbColor rgb="00DEEAF1"/>
      <rgbColor rgb="004E1130"/>
      <rgbColor rgb="00ED7D31"/>
      <rgbColor rgb="002E75B6"/>
      <rgbColor rgb="00BDD7EE"/>
      <rgbColor rgb="00000080"/>
      <rgbColor rgb="00FF00FF"/>
      <rgbColor rgb="00F2F2F2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FF2CC"/>
      <rgbColor rgb="00D9E1F2"/>
      <rgbColor rgb="00FFE0E0"/>
      <rgbColor rgb="00FCE4D6"/>
      <rgbColor rgb="00EAD1DC"/>
      <rgbColor rgb="004472C4"/>
      <rgbColor rgb="0033CCCC"/>
      <rgbColor rgb="0099CC00"/>
      <rgbColor rgb="00FBE5D6"/>
      <rgbColor rgb="00C55A11"/>
      <rgbColor rgb="00E97132"/>
      <rgbColor rgb="00595959"/>
      <rgbColor rgb="0070AD47"/>
      <rgbColor rgb="001F3864"/>
      <rgbColor rgb="00339966"/>
      <rgbColor rgb="00003300"/>
      <rgbColor rgb="00375623"/>
      <rgbColor rgb="00833C00"/>
      <rgbColor rgb="00843C0C"/>
      <rgbColor rgb="00333399"/>
      <rgbColor rgb="002037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32"/>
  <sheetViews>
    <sheetView zoomScale="85" zoomScaleNormal="85" workbookViewId="0">
      <pane ySplit="2" topLeftCell="A3" activePane="bottomLeft" state="frozen"/>
      <selection pane="bottomLeft" activeCell="H19" sqref="H19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15" style="1" customWidth="1"/>
    <col min="4" max="5" width="14" style="1" customWidth="1"/>
    <col min="8" max="8" width="32.140625" customWidth="1"/>
    <col min="9" max="9" width="122" customWidth="1"/>
    <col min="10" max="10" width="14.42578125" customWidth="1"/>
  </cols>
  <sheetData>
    <row r="1" spans="1:5" ht="30" customHeight="1" x14ac:dyDescent="0.25">
      <c r="A1" s="53" t="s">
        <v>0</v>
      </c>
      <c r="B1" s="53"/>
      <c r="C1" s="53"/>
      <c r="D1" s="53"/>
      <c r="E1" s="53"/>
    </row>
    <row r="2" spans="1:5" ht="21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8.75" customHeight="1" x14ac:dyDescent="0.25">
      <c r="A3" s="15" t="s">
        <v>6</v>
      </c>
      <c r="B3" s="16" t="s">
        <v>7</v>
      </c>
      <c r="C3" s="16" t="s">
        <v>8</v>
      </c>
      <c r="D3" s="17">
        <v>88810</v>
      </c>
      <c r="E3" s="18" t="s">
        <v>9</v>
      </c>
    </row>
    <row r="4" spans="1:5" ht="18.75" customHeight="1" x14ac:dyDescent="0.25">
      <c r="A4" s="19" t="s">
        <v>10</v>
      </c>
      <c r="B4" s="20" t="s">
        <v>11</v>
      </c>
      <c r="C4" s="20" t="s">
        <v>12</v>
      </c>
      <c r="D4" s="21">
        <v>19592</v>
      </c>
      <c r="E4" s="22" t="s">
        <v>13</v>
      </c>
    </row>
    <row r="5" spans="1:5" ht="18.75" customHeight="1" x14ac:dyDescent="0.25">
      <c r="A5" s="15" t="s">
        <v>14</v>
      </c>
      <c r="B5" s="16" t="s">
        <v>15</v>
      </c>
      <c r="C5" s="16" t="s">
        <v>16</v>
      </c>
      <c r="D5" s="17">
        <v>8278</v>
      </c>
      <c r="E5" s="23" t="s">
        <v>17</v>
      </c>
    </row>
    <row r="6" spans="1:5" ht="18.75" customHeight="1" x14ac:dyDescent="0.25">
      <c r="A6" s="19" t="s">
        <v>18</v>
      </c>
      <c r="B6" s="20" t="s">
        <v>19</v>
      </c>
      <c r="C6" s="20" t="s">
        <v>20</v>
      </c>
      <c r="D6" s="21">
        <v>41048</v>
      </c>
      <c r="E6" s="18" t="s">
        <v>9</v>
      </c>
    </row>
    <row r="7" spans="1:5" ht="18.75" customHeight="1" x14ac:dyDescent="0.25">
      <c r="A7" s="15" t="s">
        <v>21</v>
      </c>
      <c r="B7" s="16" t="s">
        <v>22</v>
      </c>
      <c r="C7" s="16" t="s">
        <v>23</v>
      </c>
      <c r="D7" s="17">
        <v>37098</v>
      </c>
      <c r="E7" s="23" t="s">
        <v>17</v>
      </c>
    </row>
    <row r="8" spans="1:5" ht="18.75" customHeight="1" x14ac:dyDescent="0.25">
      <c r="A8" s="19" t="s">
        <v>24</v>
      </c>
      <c r="B8" s="20" t="s">
        <v>7</v>
      </c>
      <c r="C8" s="20" t="s">
        <v>8</v>
      </c>
      <c r="D8" s="21">
        <v>34256</v>
      </c>
      <c r="E8" s="18" t="s">
        <v>9</v>
      </c>
    </row>
    <row r="9" spans="1:5" ht="18.75" customHeight="1" x14ac:dyDescent="0.25">
      <c r="A9" s="15" t="s">
        <v>25</v>
      </c>
      <c r="B9" s="16" t="s">
        <v>11</v>
      </c>
      <c r="C9" s="16" t="s">
        <v>12</v>
      </c>
      <c r="D9" s="17">
        <v>23289</v>
      </c>
      <c r="E9" s="22" t="s">
        <v>13</v>
      </c>
    </row>
    <row r="10" spans="1:5" ht="18.75" customHeight="1" x14ac:dyDescent="0.25">
      <c r="A10" s="19" t="s">
        <v>26</v>
      </c>
      <c r="B10" s="20" t="s">
        <v>15</v>
      </c>
      <c r="C10" s="20" t="s">
        <v>16</v>
      </c>
      <c r="D10" s="20"/>
      <c r="E10" s="23" t="s">
        <v>17</v>
      </c>
    </row>
    <row r="11" spans="1:5" ht="18.75" customHeight="1" x14ac:dyDescent="0.25">
      <c r="A11" s="15" t="s">
        <v>27</v>
      </c>
      <c r="B11" s="16" t="s">
        <v>19</v>
      </c>
      <c r="C11" s="16" t="s">
        <v>20</v>
      </c>
      <c r="D11" s="17">
        <v>93696</v>
      </c>
      <c r="E11" s="18" t="s">
        <v>9</v>
      </c>
    </row>
    <row r="12" spans="1:5" ht="18.75" customHeight="1" x14ac:dyDescent="0.25">
      <c r="A12" s="19" t="s">
        <v>28</v>
      </c>
      <c r="B12" s="20" t="s">
        <v>22</v>
      </c>
      <c r="C12" s="20" t="s">
        <v>23</v>
      </c>
      <c r="D12" s="21">
        <v>76482</v>
      </c>
      <c r="E12" s="18" t="s">
        <v>9</v>
      </c>
    </row>
    <row r="13" spans="1:5" ht="18.75" customHeight="1" x14ac:dyDescent="0.25">
      <c r="A13" s="15" t="s">
        <v>29</v>
      </c>
      <c r="B13" s="16" t="s">
        <v>7</v>
      </c>
      <c r="C13" s="16" t="s">
        <v>8</v>
      </c>
      <c r="D13" s="17">
        <v>16395</v>
      </c>
      <c r="E13" s="18" t="s">
        <v>9</v>
      </c>
    </row>
    <row r="14" spans="1:5" ht="18.75" customHeight="1" x14ac:dyDescent="0.25">
      <c r="A14" s="19" t="s">
        <v>30</v>
      </c>
      <c r="B14" s="20" t="s">
        <v>11</v>
      </c>
      <c r="C14" s="20" t="s">
        <v>12</v>
      </c>
      <c r="D14" s="21">
        <v>82397</v>
      </c>
      <c r="E14" s="22" t="s">
        <v>13</v>
      </c>
    </row>
    <row r="15" spans="1:5" ht="18.75" customHeight="1" x14ac:dyDescent="0.25">
      <c r="A15" s="15" t="s">
        <v>31</v>
      </c>
      <c r="B15" s="16" t="s">
        <v>15</v>
      </c>
      <c r="C15" s="16" t="s">
        <v>16</v>
      </c>
      <c r="D15" s="17">
        <v>60302</v>
      </c>
      <c r="E15" s="23" t="s">
        <v>17</v>
      </c>
    </row>
    <row r="16" spans="1:5" ht="18.75" customHeight="1" x14ac:dyDescent="0.25">
      <c r="A16" s="19" t="s">
        <v>32</v>
      </c>
      <c r="B16" s="20" t="s">
        <v>19</v>
      </c>
      <c r="C16" s="20" t="s">
        <v>20</v>
      </c>
      <c r="D16" s="21">
        <v>9165</v>
      </c>
      <c r="E16" s="18" t="s">
        <v>9</v>
      </c>
    </row>
    <row r="17" spans="1:5" ht="18.75" customHeight="1" x14ac:dyDescent="0.25">
      <c r="A17" s="15" t="s">
        <v>33</v>
      </c>
      <c r="B17" s="16" t="s">
        <v>22</v>
      </c>
      <c r="C17" s="16" t="s">
        <v>23</v>
      </c>
      <c r="D17" s="17">
        <v>8905</v>
      </c>
      <c r="E17" s="18" t="s">
        <v>9</v>
      </c>
    </row>
    <row r="18" spans="1:5" ht="18.75" customHeight="1" x14ac:dyDescent="0.25">
      <c r="A18" s="19" t="s">
        <v>34</v>
      </c>
      <c r="B18" s="20" t="s">
        <v>7</v>
      </c>
      <c r="C18" s="20" t="s">
        <v>8</v>
      </c>
      <c r="D18" s="20"/>
      <c r="E18" s="18" t="s">
        <v>9</v>
      </c>
    </row>
    <row r="19" spans="1:5" ht="18.75" customHeight="1" x14ac:dyDescent="0.25">
      <c r="A19" s="15" t="s">
        <v>35</v>
      </c>
      <c r="B19" s="16" t="s">
        <v>11</v>
      </c>
      <c r="C19" s="16" t="s">
        <v>12</v>
      </c>
      <c r="D19" s="17">
        <v>33657</v>
      </c>
      <c r="E19" s="22" t="s">
        <v>13</v>
      </c>
    </row>
    <row r="20" spans="1:5" ht="18.75" customHeight="1" x14ac:dyDescent="0.25">
      <c r="A20" s="19" t="s">
        <v>36</v>
      </c>
      <c r="B20" s="20" t="s">
        <v>15</v>
      </c>
      <c r="C20" s="20" t="s">
        <v>16</v>
      </c>
      <c r="D20" s="21">
        <v>35495</v>
      </c>
      <c r="E20" s="23" t="s">
        <v>17</v>
      </c>
    </row>
    <row r="21" spans="1:5" ht="18.75" customHeight="1" x14ac:dyDescent="0.25">
      <c r="A21" s="15" t="s">
        <v>37</v>
      </c>
      <c r="B21" s="16" t="s">
        <v>19</v>
      </c>
      <c r="C21" s="16" t="s">
        <v>20</v>
      </c>
      <c r="D21" s="17">
        <v>71237</v>
      </c>
      <c r="E21" s="18" t="s">
        <v>9</v>
      </c>
    </row>
    <row r="22" spans="1:5" ht="18.75" customHeight="1" x14ac:dyDescent="0.25">
      <c r="A22" s="19" t="s">
        <v>38</v>
      </c>
      <c r="B22" s="20" t="s">
        <v>22</v>
      </c>
      <c r="C22" s="20" t="s">
        <v>23</v>
      </c>
      <c r="D22" s="21">
        <v>83907</v>
      </c>
      <c r="E22" s="18" t="s">
        <v>9</v>
      </c>
    </row>
    <row r="23" spans="1:5" ht="18.75" customHeight="1" x14ac:dyDescent="0.25">
      <c r="A23" s="15" t="s">
        <v>39</v>
      </c>
      <c r="B23" s="16" t="s">
        <v>7</v>
      </c>
      <c r="C23" s="16" t="s">
        <v>8</v>
      </c>
      <c r="D23" s="17">
        <v>8478</v>
      </c>
      <c r="E23" s="18" t="s">
        <v>9</v>
      </c>
    </row>
    <row r="24" spans="1:5" ht="18.75" customHeight="1" x14ac:dyDescent="0.25">
      <c r="A24" s="19" t="s">
        <v>40</v>
      </c>
      <c r="B24" s="20" t="s">
        <v>11</v>
      </c>
      <c r="C24" s="20" t="s">
        <v>12</v>
      </c>
      <c r="D24" s="21">
        <v>78563</v>
      </c>
      <c r="E24" s="22" t="s">
        <v>13</v>
      </c>
    </row>
    <row r="25" spans="1:5" ht="18.75" customHeight="1" x14ac:dyDescent="0.25">
      <c r="A25" s="15" t="s">
        <v>41</v>
      </c>
      <c r="B25" s="16" t="s">
        <v>15</v>
      </c>
      <c r="C25" s="16" t="s">
        <v>16</v>
      </c>
      <c r="D25" s="16"/>
      <c r="E25" s="23" t="s">
        <v>17</v>
      </c>
    </row>
    <row r="26" spans="1:5" ht="18.75" customHeight="1" x14ac:dyDescent="0.25">
      <c r="A26" s="19" t="s">
        <v>42</v>
      </c>
      <c r="B26" s="20" t="s">
        <v>19</v>
      </c>
      <c r="C26" s="20" t="s">
        <v>20</v>
      </c>
      <c r="D26" s="21">
        <v>90181</v>
      </c>
      <c r="E26" s="18" t="s">
        <v>9</v>
      </c>
    </row>
    <row r="27" spans="1:5" ht="18.75" customHeight="1" x14ac:dyDescent="0.25">
      <c r="A27" s="15" t="s">
        <v>43</v>
      </c>
      <c r="B27" s="16" t="s">
        <v>22</v>
      </c>
      <c r="C27" s="16" t="s">
        <v>23</v>
      </c>
      <c r="D27" s="17">
        <v>76426</v>
      </c>
      <c r="E27" s="23" t="s">
        <v>17</v>
      </c>
    </row>
    <row r="28" spans="1:5" ht="18.75" customHeight="1" x14ac:dyDescent="0.25">
      <c r="A28" s="19" t="s">
        <v>44</v>
      </c>
      <c r="B28" s="20" t="s">
        <v>7</v>
      </c>
      <c r="C28" s="20" t="s">
        <v>8</v>
      </c>
      <c r="D28" s="21">
        <v>59987</v>
      </c>
      <c r="E28" s="18" t="s">
        <v>9</v>
      </c>
    </row>
    <row r="29" spans="1:5" ht="18.75" customHeight="1" x14ac:dyDescent="0.25">
      <c r="A29" s="15" t="s">
        <v>45</v>
      </c>
      <c r="B29" s="16" t="s">
        <v>11</v>
      </c>
      <c r="C29" s="16" t="s">
        <v>12</v>
      </c>
      <c r="D29" s="17">
        <v>33893</v>
      </c>
      <c r="E29" s="22" t="s">
        <v>13</v>
      </c>
    </row>
    <row r="30" spans="1:5" ht="18.75" customHeight="1" x14ac:dyDescent="0.25">
      <c r="A30" s="19" t="s">
        <v>46</v>
      </c>
      <c r="B30" s="20" t="s">
        <v>15</v>
      </c>
      <c r="C30" s="20" t="s">
        <v>16</v>
      </c>
      <c r="D30" s="21">
        <v>63878</v>
      </c>
      <c r="E30" s="23" t="s">
        <v>17</v>
      </c>
    </row>
    <row r="31" spans="1:5" ht="18.75" customHeight="1" x14ac:dyDescent="0.25">
      <c r="A31" s="15" t="s">
        <v>47</v>
      </c>
      <c r="B31" s="16" t="s">
        <v>19</v>
      </c>
      <c r="C31" s="16" t="s">
        <v>20</v>
      </c>
      <c r="D31" s="17">
        <v>82236</v>
      </c>
      <c r="E31" s="18" t="s">
        <v>9</v>
      </c>
    </row>
    <row r="32" spans="1:5" ht="18.75" customHeight="1" x14ac:dyDescent="0.25">
      <c r="A32" s="19" t="s">
        <v>48</v>
      </c>
      <c r="B32" s="20" t="s">
        <v>22</v>
      </c>
      <c r="C32" s="20" t="s">
        <v>23</v>
      </c>
      <c r="D32" s="21">
        <v>41463</v>
      </c>
      <c r="E32" s="18" t="s">
        <v>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7132"/>
  </sheetPr>
  <dimension ref="A1:AB33"/>
  <sheetViews>
    <sheetView tabSelected="1" topLeftCell="N1" zoomScale="80" zoomScaleNormal="80" workbookViewId="0">
      <pane ySplit="3" topLeftCell="A23" activePane="bottomLeft" state="frozen"/>
      <selection pane="bottomLeft" activeCell="R30" sqref="R30"/>
    </sheetView>
  </sheetViews>
  <sheetFormatPr defaultColWidth="8.7109375" defaultRowHeight="15" x14ac:dyDescent="0.25"/>
  <cols>
    <col min="1" max="1" width="16.28515625" customWidth="1"/>
    <col min="2" max="3" width="10" customWidth="1"/>
    <col min="4" max="4" width="10.42578125" customWidth="1"/>
    <col min="5" max="7" width="12.5703125" customWidth="1"/>
    <col min="8" max="9" width="16.7109375" customWidth="1"/>
    <col min="10" max="10" width="10.5703125"/>
    <col min="14" max="14" width="6" style="1" customWidth="1"/>
    <col min="15" max="15" width="18" style="1" customWidth="1"/>
    <col min="16" max="16" width="55" style="1" customWidth="1"/>
    <col min="17" max="17" width="28" style="1" customWidth="1"/>
    <col min="18" max="18" width="95.5703125" style="1" customWidth="1"/>
    <col min="21" max="21" width="16.28515625" customWidth="1"/>
    <col min="22" max="22" width="8.140625" customWidth="1"/>
    <col min="23" max="23" width="10.42578125" customWidth="1"/>
    <col min="24" max="24" width="9.5703125" customWidth="1"/>
    <col min="25" max="25" width="10.85546875" customWidth="1"/>
  </cols>
  <sheetData>
    <row r="1" spans="1:28" ht="30" customHeight="1" x14ac:dyDescent="0.25">
      <c r="A1" s="2" t="s">
        <v>1</v>
      </c>
      <c r="B1" s="2" t="s">
        <v>2</v>
      </c>
      <c r="C1" s="2" t="s">
        <v>155</v>
      </c>
      <c r="D1" s="2" t="s">
        <v>3</v>
      </c>
      <c r="E1" s="2" t="s">
        <v>4</v>
      </c>
      <c r="F1" s="2" t="s">
        <v>153</v>
      </c>
      <c r="G1" s="2" t="s">
        <v>154</v>
      </c>
      <c r="H1" s="2" t="s">
        <v>5</v>
      </c>
      <c r="I1" s="2"/>
      <c r="J1" s="2" t="s">
        <v>49</v>
      </c>
      <c r="K1" s="2" t="s">
        <v>156</v>
      </c>
      <c r="N1" s="53" t="s">
        <v>50</v>
      </c>
      <c r="O1" s="53"/>
      <c r="P1" s="53"/>
      <c r="Q1" s="53"/>
      <c r="R1" s="53"/>
    </row>
    <row r="2" spans="1:28" ht="19.5" customHeight="1" x14ac:dyDescent="0.25">
      <c r="A2" s="15" t="s">
        <v>6</v>
      </c>
      <c r="B2" s="16" t="s">
        <v>7</v>
      </c>
      <c r="C2" s="16" t="str">
        <f>IF(Region="North","Zone 1",IF(Region="South","Zone 2",IF(Region="East","Zone 3","Zone  4")))</f>
        <v>Zone 1</v>
      </c>
      <c r="D2" s="16" t="s">
        <v>8</v>
      </c>
      <c r="E2" s="17">
        <v>88810</v>
      </c>
      <c r="F2" s="17" t="str">
        <f>IF(Sales &gt;= 75000, "A", IF(Sales&gt;= 50000, "B", "C"))</f>
        <v>A</v>
      </c>
      <c r="G2" s="17" t="str">
        <f>IF(Sales&gt;=60000,"High","Low")</f>
        <v>High</v>
      </c>
      <c r="H2" s="18" t="s">
        <v>9</v>
      </c>
      <c r="I2" s="18" t="str">
        <f>IF(Status = "Completed","Achieved","Not Achieved")</f>
        <v>Achieved</v>
      </c>
      <c r="J2" s="17">
        <v>3</v>
      </c>
      <c r="K2" s="51">
        <f>IFERROR(E2/J2,"N/A")</f>
        <v>29603.333333333332</v>
      </c>
      <c r="N2" s="54" t="s">
        <v>51</v>
      </c>
      <c r="O2" s="54"/>
      <c r="P2" s="54"/>
      <c r="Q2" s="54"/>
      <c r="R2" s="54"/>
    </row>
    <row r="3" spans="1:28" ht="21.75" customHeight="1" x14ac:dyDescent="0.25">
      <c r="A3" s="19" t="s">
        <v>10</v>
      </c>
      <c r="B3" s="20" t="s">
        <v>11</v>
      </c>
      <c r="C3" s="16" t="str">
        <f t="shared" ref="C3:C31" si="0">IF(Region="North","Zone 1",IF(Region="South","Zone 2",IF(Region="East","Zone 3","Zone  4")))</f>
        <v>Zone 2</v>
      </c>
      <c r="D3" s="20" t="s">
        <v>12</v>
      </c>
      <c r="E3" s="21">
        <v>19592</v>
      </c>
      <c r="F3" s="17" t="str">
        <f t="shared" ref="F3:F31" si="1">IF(Sales &gt;= 75000, "A", IF(Sales&gt;= 50000, "B", "C"))</f>
        <v>C</v>
      </c>
      <c r="G3" s="17" t="str">
        <f t="shared" ref="G3:G31" si="2">IF(Sales&gt;=60000,"High","Low")</f>
        <v>Low</v>
      </c>
      <c r="H3" s="22" t="s">
        <v>13</v>
      </c>
      <c r="I3" s="18" t="str">
        <f t="shared" ref="I3:I31" si="3">IF(Status = "Completed","Achieved","Not Achieved")</f>
        <v>Not Achieved</v>
      </c>
      <c r="J3" s="21">
        <v>0</v>
      </c>
      <c r="K3" s="51" t="str">
        <f t="shared" ref="K3:K31" si="4">IFERROR(E3/J3,"N/A")</f>
        <v>N/A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</row>
    <row r="4" spans="1:28" ht="37.5" customHeight="1" thickBot="1" x14ac:dyDescent="0.3">
      <c r="A4" s="15" t="s">
        <v>14</v>
      </c>
      <c r="B4" s="16" t="s">
        <v>15</v>
      </c>
      <c r="C4" s="16" t="str">
        <f t="shared" si="0"/>
        <v>Zone 3</v>
      </c>
      <c r="D4" s="16" t="s">
        <v>16</v>
      </c>
      <c r="E4" s="17">
        <v>8278</v>
      </c>
      <c r="F4" s="17" t="str">
        <f t="shared" si="1"/>
        <v>C</v>
      </c>
      <c r="G4" s="17" t="str">
        <f t="shared" si="2"/>
        <v>Low</v>
      </c>
      <c r="H4" s="23" t="s">
        <v>17</v>
      </c>
      <c r="I4" s="18" t="str">
        <f t="shared" si="3"/>
        <v>Not Achieved</v>
      </c>
      <c r="J4" s="17">
        <v>0</v>
      </c>
      <c r="K4" s="51" t="str">
        <f t="shared" si="4"/>
        <v>N/A</v>
      </c>
      <c r="N4" s="24">
        <v>1</v>
      </c>
      <c r="O4" s="22" t="s">
        <v>57</v>
      </c>
      <c r="P4" s="25" t="s">
        <v>58</v>
      </c>
      <c r="Q4" s="26" t="s">
        <v>59</v>
      </c>
      <c r="R4" s="27" t="s">
        <v>157</v>
      </c>
    </row>
    <row r="5" spans="1:28" ht="37.5" customHeight="1" x14ac:dyDescent="0.25">
      <c r="A5" s="19" t="s">
        <v>18</v>
      </c>
      <c r="B5" s="20" t="s">
        <v>19</v>
      </c>
      <c r="C5" s="16" t="str">
        <f t="shared" si="0"/>
        <v>Zone  4</v>
      </c>
      <c r="D5" s="20" t="s">
        <v>20</v>
      </c>
      <c r="E5" s="21">
        <v>41048</v>
      </c>
      <c r="F5" s="17" t="str">
        <f t="shared" si="1"/>
        <v>C</v>
      </c>
      <c r="G5" s="17" t="str">
        <f t="shared" si="2"/>
        <v>Low</v>
      </c>
      <c r="H5" s="18" t="s">
        <v>9</v>
      </c>
      <c r="I5" s="18" t="str">
        <f t="shared" si="3"/>
        <v>Achieved</v>
      </c>
      <c r="J5" s="21">
        <v>7</v>
      </c>
      <c r="K5" s="51">
        <f t="shared" si="4"/>
        <v>5864</v>
      </c>
      <c r="N5" s="24">
        <v>2</v>
      </c>
      <c r="O5" s="22" t="s">
        <v>57</v>
      </c>
      <c r="P5" s="28" t="s">
        <v>60</v>
      </c>
      <c r="Q5" s="26" t="s">
        <v>61</v>
      </c>
      <c r="R5" s="27" t="s">
        <v>158</v>
      </c>
      <c r="U5" s="29" t="s">
        <v>62</v>
      </c>
      <c r="V5" s="46"/>
      <c r="W5" s="46"/>
      <c r="X5" s="46"/>
      <c r="Y5" s="46"/>
      <c r="Z5" s="46"/>
      <c r="AA5" s="46"/>
      <c r="AB5" s="47"/>
    </row>
    <row r="6" spans="1:28" ht="37.5" customHeight="1" x14ac:dyDescent="0.25">
      <c r="A6" s="15" t="s">
        <v>21</v>
      </c>
      <c r="B6" s="16" t="s">
        <v>22</v>
      </c>
      <c r="C6" s="16" t="str">
        <f t="shared" si="0"/>
        <v>Zone  4</v>
      </c>
      <c r="D6" s="16" t="s">
        <v>23</v>
      </c>
      <c r="E6" s="17">
        <v>37098</v>
      </c>
      <c r="F6" s="17" t="str">
        <f t="shared" si="1"/>
        <v>C</v>
      </c>
      <c r="G6" s="17" t="str">
        <f t="shared" si="2"/>
        <v>Low</v>
      </c>
      <c r="H6" s="23" t="s">
        <v>17</v>
      </c>
      <c r="I6" s="18" t="str">
        <f t="shared" si="3"/>
        <v>Not Achieved</v>
      </c>
      <c r="J6" s="17">
        <v>0</v>
      </c>
      <c r="K6" s="51" t="str">
        <f t="shared" si="4"/>
        <v>N/A</v>
      </c>
      <c r="N6" s="30">
        <v>3</v>
      </c>
      <c r="O6" s="18" t="s">
        <v>63</v>
      </c>
      <c r="P6" s="25" t="s">
        <v>64</v>
      </c>
      <c r="Q6" s="26" t="s">
        <v>65</v>
      </c>
      <c r="R6" s="27" t="s">
        <v>159</v>
      </c>
      <c r="U6" s="31" t="s">
        <v>66</v>
      </c>
      <c r="AB6" s="48"/>
    </row>
    <row r="7" spans="1:28" ht="37.5" customHeight="1" x14ac:dyDescent="0.25">
      <c r="A7" s="19" t="s">
        <v>24</v>
      </c>
      <c r="B7" s="20" t="s">
        <v>7</v>
      </c>
      <c r="C7" s="16" t="str">
        <f t="shared" si="0"/>
        <v>Zone 1</v>
      </c>
      <c r="D7" s="20" t="s">
        <v>8</v>
      </c>
      <c r="E7" s="21">
        <v>34256</v>
      </c>
      <c r="F7" s="17" t="str">
        <f t="shared" si="1"/>
        <v>C</v>
      </c>
      <c r="G7" s="17" t="str">
        <f t="shared" si="2"/>
        <v>Low</v>
      </c>
      <c r="H7" s="18" t="s">
        <v>9</v>
      </c>
      <c r="I7" s="18" t="str">
        <f t="shared" si="3"/>
        <v>Achieved</v>
      </c>
      <c r="J7" s="21">
        <v>7</v>
      </c>
      <c r="K7" s="51">
        <f t="shared" si="4"/>
        <v>4893.7142857142853</v>
      </c>
      <c r="N7" s="30">
        <v>4</v>
      </c>
      <c r="O7" s="18" t="s">
        <v>63</v>
      </c>
      <c r="P7" s="28" t="s">
        <v>67</v>
      </c>
      <c r="Q7" s="26" t="s">
        <v>68</v>
      </c>
      <c r="R7" s="27" t="s">
        <v>160</v>
      </c>
      <c r="U7" s="32"/>
      <c r="AB7" s="48"/>
    </row>
    <row r="8" spans="1:28" ht="37.5" customHeight="1" x14ac:dyDescent="0.25">
      <c r="A8" s="15" t="s">
        <v>25</v>
      </c>
      <c r="B8" s="16" t="s">
        <v>11</v>
      </c>
      <c r="C8" s="16" t="str">
        <f t="shared" si="0"/>
        <v>Zone 2</v>
      </c>
      <c r="D8" s="16" t="s">
        <v>12</v>
      </c>
      <c r="E8" s="17">
        <v>23289</v>
      </c>
      <c r="F8" s="17" t="str">
        <f t="shared" si="1"/>
        <v>C</v>
      </c>
      <c r="G8" s="17" t="str">
        <f t="shared" si="2"/>
        <v>Low</v>
      </c>
      <c r="H8" s="22" t="s">
        <v>13</v>
      </c>
      <c r="I8" s="18" t="str">
        <f t="shared" si="3"/>
        <v>Not Achieved</v>
      </c>
      <c r="J8" s="17">
        <v>8</v>
      </c>
      <c r="K8" s="51">
        <f t="shared" si="4"/>
        <v>2911.125</v>
      </c>
      <c r="N8" s="33">
        <v>5</v>
      </c>
      <c r="O8" s="34" t="s">
        <v>69</v>
      </c>
      <c r="P8" s="25" t="s">
        <v>70</v>
      </c>
      <c r="Q8" s="26" t="s">
        <v>71</v>
      </c>
      <c r="R8" s="35" t="s">
        <v>161</v>
      </c>
      <c r="U8" s="36" t="s">
        <v>72</v>
      </c>
      <c r="AB8" s="48"/>
    </row>
    <row r="9" spans="1:28" ht="37.5" customHeight="1" x14ac:dyDescent="0.25">
      <c r="A9" s="19" t="s">
        <v>26</v>
      </c>
      <c r="B9" s="20" t="s">
        <v>15</v>
      </c>
      <c r="C9" s="16" t="str">
        <f t="shared" si="0"/>
        <v>Zone 3</v>
      </c>
      <c r="D9" s="20" t="s">
        <v>16</v>
      </c>
      <c r="E9" s="20"/>
      <c r="F9" s="17" t="str">
        <f t="shared" si="1"/>
        <v>C</v>
      </c>
      <c r="G9" s="17" t="str">
        <f t="shared" si="2"/>
        <v>Low</v>
      </c>
      <c r="H9" s="23" t="s">
        <v>17</v>
      </c>
      <c r="I9" s="18" t="str">
        <f t="shared" si="3"/>
        <v>Not Achieved</v>
      </c>
      <c r="J9" s="21">
        <v>4</v>
      </c>
      <c r="K9" s="51">
        <f t="shared" si="4"/>
        <v>0</v>
      </c>
      <c r="N9" s="37">
        <v>6</v>
      </c>
      <c r="O9" s="38" t="s">
        <v>73</v>
      </c>
      <c r="P9" s="25" t="s">
        <v>74</v>
      </c>
      <c r="Q9" s="26" t="s">
        <v>75</v>
      </c>
      <c r="R9" s="52">
        <f>COUNT(E2:E31)</f>
        <v>27</v>
      </c>
      <c r="U9" s="31" t="s">
        <v>76</v>
      </c>
      <c r="AB9" s="48"/>
    </row>
    <row r="10" spans="1:28" ht="37.5" customHeight="1" x14ac:dyDescent="0.25">
      <c r="A10" s="15" t="s">
        <v>27</v>
      </c>
      <c r="B10" s="16" t="s">
        <v>19</v>
      </c>
      <c r="C10" s="16" t="str">
        <f t="shared" si="0"/>
        <v>Zone  4</v>
      </c>
      <c r="D10" s="16" t="s">
        <v>20</v>
      </c>
      <c r="E10" s="17">
        <v>93696</v>
      </c>
      <c r="F10" s="17" t="str">
        <f t="shared" si="1"/>
        <v>A</v>
      </c>
      <c r="G10" s="17" t="str">
        <f t="shared" si="2"/>
        <v>High</v>
      </c>
      <c r="H10" s="18" t="s">
        <v>9</v>
      </c>
      <c r="I10" s="18" t="str">
        <f t="shared" si="3"/>
        <v>Achieved</v>
      </c>
      <c r="J10" s="17">
        <v>3</v>
      </c>
      <c r="K10" s="51">
        <f t="shared" si="4"/>
        <v>31232</v>
      </c>
      <c r="N10" s="37">
        <v>7</v>
      </c>
      <c r="O10" s="38" t="s">
        <v>77</v>
      </c>
      <c r="P10" s="28" t="s">
        <v>78</v>
      </c>
      <c r="Q10" s="26" t="s">
        <v>79</v>
      </c>
      <c r="R10" s="52">
        <f>COUNTA(A2:A31)</f>
        <v>30</v>
      </c>
      <c r="U10" s="32"/>
      <c r="AB10" s="48"/>
    </row>
    <row r="11" spans="1:28" ht="37.5" customHeight="1" x14ac:dyDescent="0.25">
      <c r="A11" s="19" t="s">
        <v>28</v>
      </c>
      <c r="B11" s="20" t="s">
        <v>22</v>
      </c>
      <c r="C11" s="16" t="str">
        <f t="shared" si="0"/>
        <v>Zone  4</v>
      </c>
      <c r="D11" s="20" t="s">
        <v>23</v>
      </c>
      <c r="E11" s="21">
        <v>76482</v>
      </c>
      <c r="F11" s="17" t="str">
        <f t="shared" si="1"/>
        <v>A</v>
      </c>
      <c r="G11" s="17" t="str">
        <f t="shared" si="2"/>
        <v>High</v>
      </c>
      <c r="H11" s="18" t="s">
        <v>9</v>
      </c>
      <c r="I11" s="18" t="str">
        <f t="shared" si="3"/>
        <v>Achieved</v>
      </c>
      <c r="J11" s="21">
        <v>0</v>
      </c>
      <c r="K11" s="51" t="str">
        <f t="shared" si="4"/>
        <v>N/A</v>
      </c>
      <c r="N11" s="39">
        <v>8</v>
      </c>
      <c r="O11" s="40" t="s">
        <v>80</v>
      </c>
      <c r="P11" s="25" t="s">
        <v>81</v>
      </c>
      <c r="Q11" s="26" t="s">
        <v>82</v>
      </c>
      <c r="R11" s="52">
        <f>COUNTBLANK(E2:E31)</f>
        <v>3</v>
      </c>
      <c r="U11" s="32" t="s">
        <v>83</v>
      </c>
      <c r="AB11" s="48"/>
    </row>
    <row r="12" spans="1:28" ht="37.5" customHeight="1" x14ac:dyDescent="0.25">
      <c r="A12" s="15" t="s">
        <v>29</v>
      </c>
      <c r="B12" s="16" t="s">
        <v>7</v>
      </c>
      <c r="C12" s="16" t="str">
        <f t="shared" si="0"/>
        <v>Zone 1</v>
      </c>
      <c r="D12" s="16" t="s">
        <v>8</v>
      </c>
      <c r="E12" s="17">
        <v>16395</v>
      </c>
      <c r="F12" s="17" t="str">
        <f t="shared" si="1"/>
        <v>C</v>
      </c>
      <c r="G12" s="17" t="str">
        <f t="shared" si="2"/>
        <v>Low</v>
      </c>
      <c r="H12" s="18" t="s">
        <v>9</v>
      </c>
      <c r="I12" s="18" t="str">
        <f t="shared" si="3"/>
        <v>Achieved</v>
      </c>
      <c r="J12" s="17">
        <v>2</v>
      </c>
      <c r="K12" s="51">
        <f t="shared" si="4"/>
        <v>8197.5</v>
      </c>
      <c r="N12" s="41">
        <v>9</v>
      </c>
      <c r="O12" s="42" t="s">
        <v>84</v>
      </c>
      <c r="P12" s="25" t="s">
        <v>85</v>
      </c>
      <c r="Q12" s="26" t="s">
        <v>86</v>
      </c>
      <c r="R12" s="52">
        <f>COUNTIF(H2:H31,"Completed")</f>
        <v>17</v>
      </c>
      <c r="U12" s="32"/>
      <c r="AB12" s="48"/>
    </row>
    <row r="13" spans="1:28" ht="37.5" customHeight="1" x14ac:dyDescent="0.25">
      <c r="A13" s="19" t="s">
        <v>30</v>
      </c>
      <c r="B13" s="20" t="s">
        <v>11</v>
      </c>
      <c r="C13" s="16" t="str">
        <f t="shared" si="0"/>
        <v>Zone 2</v>
      </c>
      <c r="D13" s="20" t="s">
        <v>12</v>
      </c>
      <c r="E13" s="21">
        <v>82397</v>
      </c>
      <c r="F13" s="17" t="str">
        <f t="shared" si="1"/>
        <v>A</v>
      </c>
      <c r="G13" s="17" t="str">
        <f t="shared" si="2"/>
        <v>High</v>
      </c>
      <c r="H13" s="22" t="s">
        <v>13</v>
      </c>
      <c r="I13" s="18" t="str">
        <f t="shared" si="3"/>
        <v>Not Achieved</v>
      </c>
      <c r="J13" s="21">
        <v>5</v>
      </c>
      <c r="K13" s="51">
        <f t="shared" si="4"/>
        <v>16479.400000000001</v>
      </c>
      <c r="N13" s="41">
        <v>10</v>
      </c>
      <c r="O13" s="42" t="s">
        <v>84</v>
      </c>
      <c r="P13" s="28" t="s">
        <v>87</v>
      </c>
      <c r="Q13" s="26" t="s">
        <v>88</v>
      </c>
      <c r="R13" s="52">
        <f>COUNTIF(B2:B31,"West")</f>
        <v>6</v>
      </c>
      <c r="U13" s="31" t="s">
        <v>89</v>
      </c>
      <c r="AB13" s="48"/>
    </row>
    <row r="14" spans="1:28" ht="37.5" customHeight="1" x14ac:dyDescent="0.25">
      <c r="A14" s="15" t="s">
        <v>31</v>
      </c>
      <c r="B14" s="16" t="s">
        <v>15</v>
      </c>
      <c r="C14" s="16" t="str">
        <f t="shared" si="0"/>
        <v>Zone 3</v>
      </c>
      <c r="D14" s="16" t="s">
        <v>16</v>
      </c>
      <c r="E14" s="17">
        <v>60302</v>
      </c>
      <c r="F14" s="17" t="str">
        <f t="shared" si="1"/>
        <v>B</v>
      </c>
      <c r="G14" s="17" t="str">
        <f t="shared" si="2"/>
        <v>High</v>
      </c>
      <c r="H14" s="23" t="s">
        <v>17</v>
      </c>
      <c r="I14" s="18" t="str">
        <f t="shared" si="3"/>
        <v>Not Achieved</v>
      </c>
      <c r="J14" s="17">
        <v>6</v>
      </c>
      <c r="K14" s="51">
        <f t="shared" si="4"/>
        <v>10050.333333333334</v>
      </c>
      <c r="N14" s="41">
        <v>11</v>
      </c>
      <c r="O14" s="42" t="s">
        <v>84</v>
      </c>
      <c r="P14" s="25" t="s">
        <v>90</v>
      </c>
      <c r="Q14" s="26" t="s">
        <v>91</v>
      </c>
      <c r="R14" s="52">
        <f>COUNTIF(Sales, "&gt;70000")</f>
        <v>10</v>
      </c>
      <c r="U14" s="32"/>
      <c r="AB14" s="48"/>
    </row>
    <row r="15" spans="1:28" ht="37.5" customHeight="1" x14ac:dyDescent="0.25">
      <c r="A15" s="19" t="s">
        <v>32</v>
      </c>
      <c r="B15" s="20" t="s">
        <v>19</v>
      </c>
      <c r="C15" s="16" t="str">
        <f t="shared" si="0"/>
        <v>Zone  4</v>
      </c>
      <c r="D15" s="20" t="s">
        <v>20</v>
      </c>
      <c r="E15" s="21">
        <v>9165</v>
      </c>
      <c r="F15" s="17" t="str">
        <f t="shared" si="1"/>
        <v>C</v>
      </c>
      <c r="G15" s="17" t="str">
        <f t="shared" si="2"/>
        <v>Low</v>
      </c>
      <c r="H15" s="18" t="s">
        <v>9</v>
      </c>
      <c r="I15" s="18" t="str">
        <f t="shared" si="3"/>
        <v>Achieved</v>
      </c>
      <c r="J15" s="21">
        <v>4</v>
      </c>
      <c r="K15" s="51">
        <f t="shared" si="4"/>
        <v>2291.25</v>
      </c>
      <c r="N15" s="41">
        <v>12</v>
      </c>
      <c r="O15" s="42" t="s">
        <v>84</v>
      </c>
      <c r="P15" s="28" t="s">
        <v>92</v>
      </c>
      <c r="Q15" s="26" t="s">
        <v>88</v>
      </c>
      <c r="R15" s="52">
        <f>COUNTIF(D2:D31,"Furniture")</f>
        <v>6</v>
      </c>
      <c r="U15" s="31" t="s">
        <v>93</v>
      </c>
      <c r="AB15" s="48"/>
    </row>
    <row r="16" spans="1:28" ht="37.5" customHeight="1" thickBot="1" x14ac:dyDescent="0.3">
      <c r="A16" s="15" t="s">
        <v>33</v>
      </c>
      <c r="B16" s="16" t="s">
        <v>22</v>
      </c>
      <c r="C16" s="16" t="str">
        <f t="shared" si="0"/>
        <v>Zone  4</v>
      </c>
      <c r="D16" s="16" t="s">
        <v>23</v>
      </c>
      <c r="E16" s="17">
        <v>8905</v>
      </c>
      <c r="F16" s="17" t="str">
        <f t="shared" si="1"/>
        <v>C</v>
      </c>
      <c r="G16" s="17" t="str">
        <f t="shared" si="2"/>
        <v>Low</v>
      </c>
      <c r="H16" s="18" t="s">
        <v>9</v>
      </c>
      <c r="I16" s="18" t="str">
        <f t="shared" si="3"/>
        <v>Achieved</v>
      </c>
      <c r="J16" s="17">
        <v>3</v>
      </c>
      <c r="K16" s="51">
        <f t="shared" si="4"/>
        <v>2968.3333333333335</v>
      </c>
      <c r="N16" s="41">
        <v>13</v>
      </c>
      <c r="O16" s="42" t="s">
        <v>94</v>
      </c>
      <c r="P16" s="25" t="s">
        <v>95</v>
      </c>
      <c r="Q16" s="26" t="s">
        <v>91</v>
      </c>
      <c r="R16" s="52">
        <f>COUNTIFS(H2:H31, "Completed",D2:D31,"Clothing")</f>
        <v>1</v>
      </c>
      <c r="U16" s="43"/>
      <c r="V16" s="49"/>
      <c r="W16" s="49"/>
      <c r="X16" s="49"/>
      <c r="Y16" s="49"/>
      <c r="Z16" s="49"/>
      <c r="AA16" s="49"/>
      <c r="AB16" s="50"/>
    </row>
    <row r="17" spans="1:18" ht="37.5" customHeight="1" x14ac:dyDescent="0.25">
      <c r="A17" s="19" t="s">
        <v>34</v>
      </c>
      <c r="B17" s="20" t="s">
        <v>7</v>
      </c>
      <c r="C17" s="16" t="str">
        <f t="shared" si="0"/>
        <v>Zone 1</v>
      </c>
      <c r="D17" s="20" t="s">
        <v>8</v>
      </c>
      <c r="E17" s="20"/>
      <c r="F17" s="17" t="str">
        <f t="shared" si="1"/>
        <v>C</v>
      </c>
      <c r="G17" s="17" t="str">
        <f t="shared" si="2"/>
        <v>Low</v>
      </c>
      <c r="H17" s="18" t="s">
        <v>9</v>
      </c>
      <c r="I17" s="18" t="str">
        <f t="shared" si="3"/>
        <v>Achieved</v>
      </c>
      <c r="J17" s="21">
        <v>3</v>
      </c>
      <c r="K17" s="51">
        <f t="shared" si="4"/>
        <v>0</v>
      </c>
      <c r="N17" s="41">
        <v>14</v>
      </c>
      <c r="O17" s="42" t="s">
        <v>94</v>
      </c>
      <c r="P17" s="28" t="s">
        <v>96</v>
      </c>
      <c r="Q17" s="26" t="s">
        <v>91</v>
      </c>
      <c r="R17" s="52">
        <f>COUNTIFS(B2:B31,"South",E2:E31,"&gt;40000")</f>
        <v>2</v>
      </c>
    </row>
    <row r="18" spans="1:18" ht="37.5" customHeight="1" x14ac:dyDescent="0.25">
      <c r="A18" s="15" t="s">
        <v>35</v>
      </c>
      <c r="B18" s="16" t="s">
        <v>11</v>
      </c>
      <c r="C18" s="16" t="str">
        <f t="shared" si="0"/>
        <v>Zone 2</v>
      </c>
      <c r="D18" s="16" t="s">
        <v>12</v>
      </c>
      <c r="E18" s="17">
        <v>33657</v>
      </c>
      <c r="F18" s="17" t="str">
        <f t="shared" si="1"/>
        <v>C</v>
      </c>
      <c r="G18" s="17" t="str">
        <f t="shared" si="2"/>
        <v>Low</v>
      </c>
      <c r="H18" s="22" t="s">
        <v>13</v>
      </c>
      <c r="I18" s="18" t="str">
        <f t="shared" si="3"/>
        <v>Not Achieved</v>
      </c>
      <c r="J18" s="17">
        <v>5</v>
      </c>
      <c r="K18" s="51">
        <f t="shared" si="4"/>
        <v>6731.4</v>
      </c>
      <c r="N18" s="41">
        <v>15</v>
      </c>
      <c r="O18" s="42" t="s">
        <v>94</v>
      </c>
      <c r="P18" s="25" t="s">
        <v>97</v>
      </c>
      <c r="Q18" s="26" t="s">
        <v>91</v>
      </c>
      <c r="R18" s="52">
        <f>COUNTIFS(H2:H31,"Cancelled, D2:D31,""Electronics")</f>
        <v>0</v>
      </c>
    </row>
    <row r="19" spans="1:18" ht="37.5" customHeight="1" x14ac:dyDescent="0.25">
      <c r="A19" s="19" t="s">
        <v>36</v>
      </c>
      <c r="B19" s="20" t="s">
        <v>15</v>
      </c>
      <c r="C19" s="16" t="str">
        <f t="shared" si="0"/>
        <v>Zone 3</v>
      </c>
      <c r="D19" s="20" t="s">
        <v>16</v>
      </c>
      <c r="E19" s="21">
        <v>35495</v>
      </c>
      <c r="F19" s="17" t="str">
        <f t="shared" si="1"/>
        <v>C</v>
      </c>
      <c r="G19" s="17" t="str">
        <f t="shared" si="2"/>
        <v>Low</v>
      </c>
      <c r="H19" s="23" t="s">
        <v>17</v>
      </c>
      <c r="I19" s="18" t="str">
        <f t="shared" si="3"/>
        <v>Not Achieved</v>
      </c>
      <c r="J19" s="21">
        <v>5</v>
      </c>
      <c r="K19" s="51">
        <f t="shared" si="4"/>
        <v>7099</v>
      </c>
      <c r="N19" s="30">
        <v>16</v>
      </c>
      <c r="O19" s="18" t="s">
        <v>98</v>
      </c>
      <c r="P19" s="28" t="s">
        <v>99</v>
      </c>
      <c r="Q19" s="26" t="s">
        <v>100</v>
      </c>
      <c r="R19" s="52">
        <f>SUMIF(H2:H31,"Completed",Sales)</f>
        <v>767092</v>
      </c>
    </row>
    <row r="20" spans="1:18" ht="37.5" customHeight="1" x14ac:dyDescent="0.25">
      <c r="A20" s="15" t="s">
        <v>37</v>
      </c>
      <c r="B20" s="16" t="s">
        <v>19</v>
      </c>
      <c r="C20" s="16" t="str">
        <f t="shared" si="0"/>
        <v>Zone  4</v>
      </c>
      <c r="D20" s="16" t="s">
        <v>20</v>
      </c>
      <c r="E20" s="17">
        <v>71237</v>
      </c>
      <c r="F20" s="17" t="str">
        <f t="shared" si="1"/>
        <v>B</v>
      </c>
      <c r="G20" s="17" t="str">
        <f t="shared" si="2"/>
        <v>High</v>
      </c>
      <c r="H20" s="18" t="s">
        <v>9</v>
      </c>
      <c r="I20" s="18" t="str">
        <f t="shared" si="3"/>
        <v>Achieved</v>
      </c>
      <c r="J20" s="17">
        <v>5</v>
      </c>
      <c r="K20" s="51">
        <f t="shared" si="4"/>
        <v>14247.4</v>
      </c>
      <c r="N20" s="30">
        <v>17</v>
      </c>
      <c r="O20" s="18" t="s">
        <v>98</v>
      </c>
      <c r="P20" s="25" t="s">
        <v>101</v>
      </c>
      <c r="Q20" s="26" t="s">
        <v>102</v>
      </c>
      <c r="R20" s="52">
        <f>SUMIF(Region,"Central",Sales)</f>
        <v>324281</v>
      </c>
    </row>
    <row r="21" spans="1:18" ht="37.5" customHeight="1" x14ac:dyDescent="0.25">
      <c r="A21" s="19" t="s">
        <v>38</v>
      </c>
      <c r="B21" s="20" t="s">
        <v>22</v>
      </c>
      <c r="C21" s="16" t="str">
        <f t="shared" si="0"/>
        <v>Zone  4</v>
      </c>
      <c r="D21" s="20" t="s">
        <v>23</v>
      </c>
      <c r="E21" s="21">
        <v>83907</v>
      </c>
      <c r="F21" s="17" t="str">
        <f t="shared" si="1"/>
        <v>A</v>
      </c>
      <c r="G21" s="17" t="str">
        <f t="shared" si="2"/>
        <v>High</v>
      </c>
      <c r="H21" s="18" t="s">
        <v>9</v>
      </c>
      <c r="I21" s="18" t="str">
        <f t="shared" si="3"/>
        <v>Achieved</v>
      </c>
      <c r="J21" s="21">
        <v>6</v>
      </c>
      <c r="K21" s="51">
        <f t="shared" si="4"/>
        <v>13984.5</v>
      </c>
      <c r="N21" s="30">
        <v>18</v>
      </c>
      <c r="O21" s="18" t="s">
        <v>98</v>
      </c>
      <c r="P21" s="28" t="s">
        <v>103</v>
      </c>
      <c r="Q21" s="26" t="s">
        <v>104</v>
      </c>
      <c r="R21" s="52">
        <f>SUMIF(D2:D31,"Groceries",Sales)</f>
        <v>167953</v>
      </c>
    </row>
    <row r="22" spans="1:18" ht="37.5" customHeight="1" x14ac:dyDescent="0.25">
      <c r="A22" s="15" t="s">
        <v>39</v>
      </c>
      <c r="B22" s="16" t="s">
        <v>7</v>
      </c>
      <c r="C22" s="16" t="str">
        <f t="shared" si="0"/>
        <v>Zone 1</v>
      </c>
      <c r="D22" s="16" t="s">
        <v>8</v>
      </c>
      <c r="E22" s="17">
        <v>8478</v>
      </c>
      <c r="F22" s="17" t="str">
        <f t="shared" si="1"/>
        <v>C</v>
      </c>
      <c r="G22" s="17" t="str">
        <f t="shared" si="2"/>
        <v>Low</v>
      </c>
      <c r="H22" s="18" t="s">
        <v>9</v>
      </c>
      <c r="I22" s="18" t="str">
        <f t="shared" si="3"/>
        <v>Achieved</v>
      </c>
      <c r="J22" s="17">
        <v>7</v>
      </c>
      <c r="K22" s="51">
        <f t="shared" si="4"/>
        <v>1211.1428571428571</v>
      </c>
      <c r="N22" s="30">
        <v>19</v>
      </c>
      <c r="O22" s="18" t="s">
        <v>105</v>
      </c>
      <c r="P22" s="25" t="s">
        <v>106</v>
      </c>
      <c r="Q22" s="26" t="s">
        <v>107</v>
      </c>
      <c r="R22" s="52">
        <f>SUMIFS(E2:E31,H2:H31,"Completed",B2:B31,"North")</f>
        <v>207926</v>
      </c>
    </row>
    <row r="23" spans="1:18" ht="37.5" customHeight="1" x14ac:dyDescent="0.25">
      <c r="A23" s="19" t="s">
        <v>40</v>
      </c>
      <c r="B23" s="20" t="s">
        <v>11</v>
      </c>
      <c r="C23" s="16" t="str">
        <f t="shared" si="0"/>
        <v>Zone 2</v>
      </c>
      <c r="D23" s="20" t="s">
        <v>12</v>
      </c>
      <c r="E23" s="21">
        <v>78563</v>
      </c>
      <c r="F23" s="17" t="str">
        <f t="shared" si="1"/>
        <v>A</v>
      </c>
      <c r="G23" s="17" t="str">
        <f t="shared" si="2"/>
        <v>High</v>
      </c>
      <c r="H23" s="22" t="s">
        <v>13</v>
      </c>
      <c r="I23" s="18" t="str">
        <f t="shared" si="3"/>
        <v>Not Achieved</v>
      </c>
      <c r="J23" s="21">
        <v>8</v>
      </c>
      <c r="K23" s="51">
        <f t="shared" si="4"/>
        <v>9820.375</v>
      </c>
      <c r="N23" s="30">
        <v>20</v>
      </c>
      <c r="O23" s="18" t="s">
        <v>105</v>
      </c>
      <c r="P23" s="28" t="s">
        <v>108</v>
      </c>
      <c r="Q23" s="26" t="s">
        <v>107</v>
      </c>
      <c r="R23" s="52">
        <f>SUMIFS(E2:E31,D2:D31,"Electronics",H2:H31,"Completed")</f>
        <v>207926</v>
      </c>
    </row>
    <row r="24" spans="1:18" ht="37.5" customHeight="1" x14ac:dyDescent="0.25">
      <c r="A24" s="15" t="s">
        <v>41</v>
      </c>
      <c r="B24" s="16" t="s">
        <v>15</v>
      </c>
      <c r="C24" s="16" t="str">
        <f t="shared" si="0"/>
        <v>Zone 3</v>
      </c>
      <c r="D24" s="16" t="s">
        <v>16</v>
      </c>
      <c r="E24" s="16"/>
      <c r="F24" s="17" t="str">
        <f t="shared" si="1"/>
        <v>C</v>
      </c>
      <c r="G24" s="17" t="str">
        <f t="shared" si="2"/>
        <v>Low</v>
      </c>
      <c r="H24" s="23" t="s">
        <v>17</v>
      </c>
      <c r="I24" s="18" t="str">
        <f t="shared" si="3"/>
        <v>Not Achieved</v>
      </c>
      <c r="J24" s="17">
        <v>8</v>
      </c>
      <c r="K24" s="51">
        <f t="shared" si="4"/>
        <v>0</v>
      </c>
      <c r="N24" s="30">
        <v>21</v>
      </c>
      <c r="O24" s="18" t="s">
        <v>105</v>
      </c>
      <c r="P24" s="25" t="s">
        <v>109</v>
      </c>
      <c r="Q24" s="26" t="s">
        <v>107</v>
      </c>
      <c r="R24" s="52">
        <f>SUMIFS(E2:E31,B2:B31,"West",E2:E31,"&gt;=30000",E2:E31,"&lt;=80000")</f>
        <v>112285</v>
      </c>
    </row>
    <row r="25" spans="1:18" ht="37.5" customHeight="1" x14ac:dyDescent="0.25">
      <c r="A25" s="19" t="s">
        <v>42</v>
      </c>
      <c r="B25" s="20" t="s">
        <v>19</v>
      </c>
      <c r="C25" s="16" t="str">
        <f t="shared" si="0"/>
        <v>Zone  4</v>
      </c>
      <c r="D25" s="20" t="s">
        <v>20</v>
      </c>
      <c r="E25" s="21">
        <v>90181</v>
      </c>
      <c r="F25" s="17" t="str">
        <f t="shared" si="1"/>
        <v>A</v>
      </c>
      <c r="G25" s="17" t="str">
        <f t="shared" si="2"/>
        <v>High</v>
      </c>
      <c r="H25" s="18" t="s">
        <v>9</v>
      </c>
      <c r="I25" s="18" t="str">
        <f t="shared" si="3"/>
        <v>Achieved</v>
      </c>
      <c r="J25" s="21">
        <v>4</v>
      </c>
      <c r="K25" s="51">
        <f t="shared" si="4"/>
        <v>22545.25</v>
      </c>
      <c r="N25" s="30">
        <v>22</v>
      </c>
      <c r="O25" s="18" t="s">
        <v>105</v>
      </c>
      <c r="P25" s="28" t="s">
        <v>110</v>
      </c>
      <c r="Q25" s="26" t="s">
        <v>107</v>
      </c>
      <c r="R25" s="52">
        <f>SUMIFS(E2:E31,D2:D31,"Furniture",B2:B31,"East",H2:H31,"Completed")</f>
        <v>0</v>
      </c>
    </row>
    <row r="26" spans="1:18" ht="37.5" customHeight="1" x14ac:dyDescent="0.25">
      <c r="A26" s="15" t="s">
        <v>43</v>
      </c>
      <c r="B26" s="16" t="s">
        <v>22</v>
      </c>
      <c r="C26" s="16" t="str">
        <f t="shared" si="0"/>
        <v>Zone  4</v>
      </c>
      <c r="D26" s="16" t="s">
        <v>23</v>
      </c>
      <c r="E26" s="17">
        <v>76426</v>
      </c>
      <c r="F26" s="17" t="str">
        <f t="shared" si="1"/>
        <v>A</v>
      </c>
      <c r="G26" s="17" t="str">
        <f t="shared" si="2"/>
        <v>High</v>
      </c>
      <c r="H26" s="23" t="s">
        <v>17</v>
      </c>
      <c r="I26" s="18" t="str">
        <f t="shared" si="3"/>
        <v>Not Achieved</v>
      </c>
      <c r="J26" s="17">
        <v>3</v>
      </c>
      <c r="K26" s="51">
        <f t="shared" si="4"/>
        <v>25475.333333333332</v>
      </c>
      <c r="N26" s="44">
        <v>23</v>
      </c>
      <c r="O26" s="45" t="s">
        <v>111</v>
      </c>
      <c r="P26" s="28" t="s">
        <v>112</v>
      </c>
      <c r="Q26" s="26" t="s">
        <v>113</v>
      </c>
      <c r="R26" s="52">
        <f>SUMIF(H2:H31, "Completed", E2:E31) / COUNTIF(H2:H31, "Completed")</f>
        <v>49419.941176470587</v>
      </c>
    </row>
    <row r="27" spans="1:18" ht="37.5" customHeight="1" x14ac:dyDescent="0.25">
      <c r="A27" s="19" t="s">
        <v>44</v>
      </c>
      <c r="B27" s="20" t="s">
        <v>7</v>
      </c>
      <c r="C27" s="16" t="str">
        <f t="shared" si="0"/>
        <v>Zone 1</v>
      </c>
      <c r="D27" s="20" t="s">
        <v>8</v>
      </c>
      <c r="E27" s="21">
        <v>59987</v>
      </c>
      <c r="F27" s="17" t="str">
        <f t="shared" si="1"/>
        <v>B</v>
      </c>
      <c r="G27" s="17" t="str">
        <f t="shared" si="2"/>
        <v>Low</v>
      </c>
      <c r="H27" s="18" t="s">
        <v>9</v>
      </c>
      <c r="I27" s="18" t="str">
        <f t="shared" si="3"/>
        <v>Achieved</v>
      </c>
      <c r="J27" s="21">
        <v>2</v>
      </c>
      <c r="K27" s="51">
        <f t="shared" si="4"/>
        <v>29993.5</v>
      </c>
      <c r="N27" s="44">
        <v>24</v>
      </c>
      <c r="O27" s="45" t="s">
        <v>111</v>
      </c>
      <c r="P27" s="25" t="s">
        <v>114</v>
      </c>
      <c r="Q27" s="26" t="s">
        <v>115</v>
      </c>
      <c r="R27" s="52">
        <f>COUNTIFS(E2:E31, "&gt;=60000", H2:H31, "Completed")</f>
        <v>7</v>
      </c>
    </row>
    <row r="28" spans="1:18" ht="37.5" customHeight="1" x14ac:dyDescent="0.25">
      <c r="A28" s="15" t="s">
        <v>45</v>
      </c>
      <c r="B28" s="16" t="s">
        <v>11</v>
      </c>
      <c r="C28" s="16" t="str">
        <f t="shared" si="0"/>
        <v>Zone 2</v>
      </c>
      <c r="D28" s="16" t="s">
        <v>12</v>
      </c>
      <c r="E28" s="17">
        <v>33893</v>
      </c>
      <c r="F28" s="17" t="str">
        <f t="shared" si="1"/>
        <v>C</v>
      </c>
      <c r="G28" s="17" t="str">
        <f t="shared" si="2"/>
        <v>Low</v>
      </c>
      <c r="H28" s="22" t="s">
        <v>9</v>
      </c>
      <c r="I28" s="18" t="str">
        <f t="shared" si="3"/>
        <v>Achieved</v>
      </c>
      <c r="J28" s="17">
        <v>0</v>
      </c>
      <c r="K28" s="51" t="str">
        <f t="shared" si="4"/>
        <v>N/A</v>
      </c>
      <c r="N28" s="44">
        <v>25</v>
      </c>
      <c r="O28" s="45" t="s">
        <v>111</v>
      </c>
      <c r="P28" s="28" t="s">
        <v>116</v>
      </c>
      <c r="Q28" s="26" t="s">
        <v>117</v>
      </c>
      <c r="R28" s="52">
        <f>SUMIF(H2:H31, "Cancelled", E2:E31)</f>
        <v>281477</v>
      </c>
    </row>
    <row r="29" spans="1:18" ht="37.5" customHeight="1" x14ac:dyDescent="0.25">
      <c r="A29" s="19" t="s">
        <v>46</v>
      </c>
      <c r="B29" s="20" t="s">
        <v>15</v>
      </c>
      <c r="C29" s="16" t="str">
        <f t="shared" si="0"/>
        <v>Zone 3</v>
      </c>
      <c r="D29" s="20" t="s">
        <v>16</v>
      </c>
      <c r="E29" s="21">
        <v>63878</v>
      </c>
      <c r="F29" s="17" t="str">
        <f t="shared" si="1"/>
        <v>B</v>
      </c>
      <c r="G29" s="17" t="str">
        <f t="shared" si="2"/>
        <v>High</v>
      </c>
      <c r="H29" s="23" t="s">
        <v>17</v>
      </c>
      <c r="I29" s="18" t="str">
        <f t="shared" si="3"/>
        <v>Not Achieved</v>
      </c>
      <c r="J29" s="21">
        <v>5</v>
      </c>
      <c r="K29" s="51">
        <f t="shared" si="4"/>
        <v>12775.6</v>
      </c>
      <c r="N29"/>
      <c r="O29"/>
      <c r="P29"/>
      <c r="Q29"/>
      <c r="R29"/>
    </row>
    <row r="30" spans="1:18" ht="37.5" customHeight="1" x14ac:dyDescent="0.25">
      <c r="A30" s="15" t="s">
        <v>47</v>
      </c>
      <c r="B30" s="16" t="s">
        <v>19</v>
      </c>
      <c r="C30" s="16" t="str">
        <f t="shared" si="0"/>
        <v>Zone  4</v>
      </c>
      <c r="D30" s="16" t="s">
        <v>20</v>
      </c>
      <c r="E30" s="17">
        <v>82236</v>
      </c>
      <c r="F30" s="17" t="str">
        <f t="shared" si="1"/>
        <v>A</v>
      </c>
      <c r="G30" s="17" t="str">
        <f t="shared" si="2"/>
        <v>High</v>
      </c>
      <c r="H30" s="18" t="s">
        <v>9</v>
      </c>
      <c r="I30" s="18" t="str">
        <f t="shared" si="3"/>
        <v>Achieved</v>
      </c>
      <c r="J30" s="17">
        <v>6</v>
      </c>
      <c r="K30" s="51">
        <f t="shared" si="4"/>
        <v>13706</v>
      </c>
      <c r="N30"/>
      <c r="O30"/>
      <c r="P30"/>
      <c r="Q30"/>
      <c r="R30"/>
    </row>
    <row r="31" spans="1:18" ht="37.5" customHeight="1" x14ac:dyDescent="0.25">
      <c r="A31" s="19" t="s">
        <v>48</v>
      </c>
      <c r="B31" s="20" t="s">
        <v>22</v>
      </c>
      <c r="C31" s="16" t="str">
        <f t="shared" si="0"/>
        <v>Zone  4</v>
      </c>
      <c r="D31" s="20" t="s">
        <v>23</v>
      </c>
      <c r="E31" s="21">
        <v>41463</v>
      </c>
      <c r="F31" s="17" t="str">
        <f t="shared" si="1"/>
        <v>C</v>
      </c>
      <c r="G31" s="17" t="str">
        <f t="shared" si="2"/>
        <v>Low</v>
      </c>
      <c r="H31" s="18" t="s">
        <v>9</v>
      </c>
      <c r="I31" s="18" t="str">
        <f t="shared" si="3"/>
        <v>Achieved</v>
      </c>
      <c r="J31" s="21">
        <v>8</v>
      </c>
      <c r="K31" s="51">
        <f t="shared" si="4"/>
        <v>5182.875</v>
      </c>
      <c r="N31"/>
      <c r="O31"/>
      <c r="P31"/>
      <c r="Q31"/>
      <c r="R31"/>
    </row>
    <row r="32" spans="1:18" ht="37.5" customHeight="1" x14ac:dyDescent="0.25">
      <c r="N32"/>
      <c r="O32"/>
      <c r="P32"/>
      <c r="Q32"/>
      <c r="R32"/>
    </row>
    <row r="33" ht="37.5" customHeight="1" x14ac:dyDescent="0.25"/>
  </sheetData>
  <mergeCells count="2">
    <mergeCell ref="N1:R1"/>
    <mergeCell ref="N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12"/>
  <sheetViews>
    <sheetView workbookViewId="0">
      <selection activeCell="D12" sqref="D12"/>
    </sheetView>
  </sheetViews>
  <sheetFormatPr defaultColWidth="8.7109375" defaultRowHeight="15" x14ac:dyDescent="0.25"/>
  <cols>
    <col min="1" max="1" width="16" style="1" customWidth="1"/>
    <col min="2" max="2" width="44" style="1" customWidth="1"/>
    <col min="3" max="3" width="46" style="1" customWidth="1"/>
    <col min="4" max="4" width="28" style="1" customWidth="1"/>
  </cols>
  <sheetData>
    <row r="1" spans="1:4" ht="30" customHeight="1" x14ac:dyDescent="0.25">
      <c r="A1" s="53" t="s">
        <v>118</v>
      </c>
      <c r="B1" s="53"/>
      <c r="C1" s="53"/>
      <c r="D1" s="53"/>
    </row>
    <row r="2" spans="1:4" ht="21.75" customHeight="1" x14ac:dyDescent="0.25">
      <c r="A2" s="2" t="s">
        <v>119</v>
      </c>
      <c r="B2" s="2" t="s">
        <v>120</v>
      </c>
      <c r="C2" s="2" t="s">
        <v>121</v>
      </c>
      <c r="D2" s="2" t="s">
        <v>122</v>
      </c>
    </row>
    <row r="3" spans="1:4" ht="25.5" customHeight="1" x14ac:dyDescent="0.25">
      <c r="A3" s="3" t="s">
        <v>57</v>
      </c>
      <c r="B3" s="4" t="s">
        <v>123</v>
      </c>
      <c r="C3" s="4" t="s">
        <v>124</v>
      </c>
      <c r="D3" s="5" t="s">
        <v>125</v>
      </c>
    </row>
    <row r="4" spans="1:4" ht="25.5" customHeight="1" x14ac:dyDescent="0.25">
      <c r="A4" s="6" t="s">
        <v>63</v>
      </c>
      <c r="B4" s="7" t="s">
        <v>126</v>
      </c>
      <c r="C4" s="7" t="s">
        <v>127</v>
      </c>
      <c r="D4" s="8" t="s">
        <v>128</v>
      </c>
    </row>
    <row r="5" spans="1:4" ht="25.5" customHeight="1" x14ac:dyDescent="0.25">
      <c r="A5" s="9" t="s">
        <v>69</v>
      </c>
      <c r="B5" s="10" t="s">
        <v>129</v>
      </c>
      <c r="C5" s="10" t="s">
        <v>130</v>
      </c>
      <c r="D5" s="11" t="s">
        <v>131</v>
      </c>
    </row>
    <row r="6" spans="1:4" ht="25.5" customHeight="1" x14ac:dyDescent="0.25">
      <c r="A6" s="12" t="s">
        <v>73</v>
      </c>
      <c r="B6" s="13" t="s">
        <v>132</v>
      </c>
      <c r="C6" s="13" t="s">
        <v>133</v>
      </c>
      <c r="D6" s="14" t="s">
        <v>134</v>
      </c>
    </row>
    <row r="7" spans="1:4" ht="25.5" customHeight="1" x14ac:dyDescent="0.25">
      <c r="A7" s="3" t="s">
        <v>77</v>
      </c>
      <c r="B7" s="4" t="s">
        <v>135</v>
      </c>
      <c r="C7" s="4" t="s">
        <v>136</v>
      </c>
      <c r="D7" s="5" t="s">
        <v>137</v>
      </c>
    </row>
    <row r="8" spans="1:4" ht="25.5" customHeight="1" x14ac:dyDescent="0.25">
      <c r="A8" s="6" t="s">
        <v>80</v>
      </c>
      <c r="B8" s="7" t="s">
        <v>138</v>
      </c>
      <c r="C8" s="7" t="s">
        <v>139</v>
      </c>
      <c r="D8" s="8" t="s">
        <v>140</v>
      </c>
    </row>
    <row r="9" spans="1:4" ht="25.5" customHeight="1" x14ac:dyDescent="0.25">
      <c r="A9" s="9" t="s">
        <v>84</v>
      </c>
      <c r="B9" s="10" t="s">
        <v>141</v>
      </c>
      <c r="C9" s="10" t="s">
        <v>142</v>
      </c>
      <c r="D9" s="11" t="s">
        <v>143</v>
      </c>
    </row>
    <row r="10" spans="1:4" ht="25.5" customHeight="1" x14ac:dyDescent="0.25">
      <c r="A10" s="12" t="s">
        <v>94</v>
      </c>
      <c r="B10" s="13" t="s">
        <v>144</v>
      </c>
      <c r="C10" s="13" t="s">
        <v>145</v>
      </c>
      <c r="D10" s="14" t="s">
        <v>146</v>
      </c>
    </row>
    <row r="11" spans="1:4" ht="25.5" customHeight="1" x14ac:dyDescent="0.25">
      <c r="A11" s="3" t="s">
        <v>98</v>
      </c>
      <c r="B11" s="4" t="s">
        <v>147</v>
      </c>
      <c r="C11" s="4" t="s">
        <v>148</v>
      </c>
      <c r="D11" s="5" t="s">
        <v>149</v>
      </c>
    </row>
    <row r="12" spans="1:4" ht="25.5" customHeight="1" x14ac:dyDescent="0.25">
      <c r="A12" s="6" t="s">
        <v>105</v>
      </c>
      <c r="B12" s="7" t="s">
        <v>150</v>
      </c>
      <c r="C12" s="7" t="s">
        <v>151</v>
      </c>
      <c r="D12" s="8" t="s">
        <v>152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Sales_Data</vt:lpstr>
      <vt:lpstr>Practice_Tasks</vt:lpstr>
      <vt:lpstr>Quick_Reference</vt:lpstr>
      <vt:lpstr>Region</vt:lpstr>
      <vt:lpstr>Sales</vt:lpstr>
      <vt:lpstr>Salesperson</vt:lpstr>
      <vt:lpstr>Status</vt:lpstr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2026-04-08T05:33:00Z</dcterms:created>
  <dcterms:modified xsi:type="dcterms:W3CDTF">2026-08-15T04:15:13Z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D47B61C98AB9492790B1411A03869A00_12</vt:lpwstr>
  </property>
  <property fmtid="{D5CDD505-2E9C-101B-9397-08002B2CF9AE}" pid="3" name="KSOProductBuildVer">
    <vt:lpwstr>1033-12.2.0.13215</vt:lpwstr>
  </property>
</Properties>
</file>